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daciortan/Desktop/experiment data/yesterday/"/>
    </mc:Choice>
  </mc:AlternateContent>
  <xr:revisionPtr revIDLastSave="0" documentId="13_ncr:1_{585F3126-4DB7-7D43-ABBF-F8218CFE3B8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1" l="1"/>
  <c r="W33" i="1" s="1"/>
  <c r="V32" i="1"/>
  <c r="W32" i="1" s="1"/>
  <c r="V31" i="1"/>
  <c r="W31" i="1" s="1"/>
  <c r="V30" i="1"/>
  <c r="U33" i="1"/>
  <c r="U32" i="1"/>
  <c r="U31" i="1"/>
  <c r="U30" i="1"/>
  <c r="T33" i="1"/>
  <c r="T32" i="1"/>
  <c r="T31" i="1"/>
  <c r="T30" i="1"/>
  <c r="R33" i="1"/>
  <c r="S33" i="1" s="1"/>
  <c r="R32" i="1"/>
  <c r="R31" i="1"/>
  <c r="R30" i="1"/>
  <c r="AG33" i="1"/>
  <c r="AG32" i="1"/>
  <c r="AF31" i="1"/>
  <c r="AG31" i="1" s="1"/>
  <c r="AF33" i="1"/>
  <c r="AF32" i="1"/>
  <c r="AF30" i="1"/>
  <c r="AE33" i="1"/>
  <c r="AE32" i="1"/>
  <c r="AE31" i="1"/>
  <c r="AD33" i="1"/>
  <c r="AD32" i="1"/>
  <c r="AD31" i="1"/>
  <c r="AD30" i="1"/>
  <c r="AC33" i="1"/>
  <c r="AB33" i="1"/>
  <c r="AC32" i="1"/>
  <c r="AC31" i="1"/>
  <c r="AB32" i="1"/>
  <c r="AB31" i="1"/>
  <c r="AB30" i="1"/>
  <c r="Z32" i="1"/>
  <c r="AA32" i="1" s="1"/>
  <c r="AA33" i="1"/>
  <c r="Z33" i="1"/>
  <c r="Z30" i="1"/>
  <c r="Z31" i="1"/>
  <c r="AA31" i="1" s="1"/>
  <c r="Y33" i="1"/>
  <c r="Y32" i="1"/>
  <c r="X32" i="1"/>
  <c r="X30" i="1"/>
  <c r="X33" i="1"/>
  <c r="X31" i="1"/>
  <c r="Y31" i="1" s="1"/>
  <c r="S32" i="1"/>
  <c r="S31" i="1"/>
</calcChain>
</file>

<file path=xl/sharedStrings.xml><?xml version="1.0" encoding="utf-8"?>
<sst xmlns="http://schemas.openxmlformats.org/spreadsheetml/2006/main" count="162" uniqueCount="110">
  <si>
    <t>ID</t>
  </si>
  <si>
    <t>run</t>
  </si>
  <si>
    <t>cyl</t>
  </si>
  <si>
    <t>p_bar</t>
  </si>
  <si>
    <t>medium</t>
  </si>
  <si>
    <t>date_start</t>
  </si>
  <si>
    <t>date_end</t>
  </si>
  <si>
    <t>day_start</t>
  </si>
  <si>
    <t>day_end</t>
  </si>
  <si>
    <t>OD600_start</t>
  </si>
  <si>
    <t>OD600_end</t>
  </si>
  <si>
    <t>pH_start</t>
  </si>
  <si>
    <t>pH_end</t>
  </si>
  <si>
    <t>acetate_mM_run_start</t>
  </si>
  <si>
    <t>acetate_mM_run_end</t>
  </si>
  <si>
    <t>sulfate_mM_run_start</t>
  </si>
  <si>
    <t>sulfate_mM_run_end</t>
  </si>
  <si>
    <t>acetate_mM_run1_start</t>
  </si>
  <si>
    <t>acetate_mM_run1_end</t>
  </si>
  <si>
    <t>sulfate_mM_run1_start</t>
  </si>
  <si>
    <t>sulfate_mM_run1_end</t>
  </si>
  <si>
    <t>prefix</t>
  </si>
  <si>
    <t>delta_sulfate_run_mmol</t>
  </si>
  <si>
    <t>n_hydrogen_run_mmol</t>
  </si>
  <si>
    <t>delta_sulfate_run1_mmol</t>
  </si>
  <si>
    <t>n_hydrogen_run1_mmol</t>
  </si>
  <si>
    <t>run3_cyl1</t>
  </si>
  <si>
    <t>NORCE</t>
  </si>
  <si>
    <t>2025-06-18_h2-100bar_SRB</t>
  </si>
  <si>
    <t>run3_cyl2</t>
  </si>
  <si>
    <t>run4_cyl1</t>
  </si>
  <si>
    <t>run4_cyl2</t>
  </si>
  <si>
    <t>run5_cyl1</t>
  </si>
  <si>
    <t>run5_cyl2</t>
  </si>
  <si>
    <t>run6_cyl1</t>
  </si>
  <si>
    <t>TUD1</t>
  </si>
  <si>
    <t>run6_cyl2</t>
  </si>
  <si>
    <t>run7_cyl1</t>
  </si>
  <si>
    <t>run7_cyl2</t>
  </si>
  <si>
    <t>run8_cyl1</t>
  </si>
  <si>
    <t>run8_cyl2</t>
  </si>
  <si>
    <t>run9_cyl1</t>
  </si>
  <si>
    <t>run9_cyl2</t>
  </si>
  <si>
    <t>run10_cyl1</t>
  </si>
  <si>
    <t>TUD2</t>
  </si>
  <si>
    <t>run10_cyl2</t>
  </si>
  <si>
    <t>run11_cyl1</t>
  </si>
  <si>
    <t>run11_cyl2</t>
  </si>
  <si>
    <t>run12_cyl1</t>
  </si>
  <si>
    <t>run12_cyl2</t>
  </si>
  <si>
    <t>run13_cyl1</t>
  </si>
  <si>
    <t>run13_cyl2</t>
  </si>
  <si>
    <t>run14_cyl1</t>
  </si>
  <si>
    <t>run14_cyl2</t>
  </si>
  <si>
    <r>
      <rPr>
        <sz val="11"/>
        <color rgb="FFFF0000"/>
        <rFont val="Calibri (Body)"/>
      </rPr>
      <t xml:space="preserve">red </t>
    </r>
    <r>
      <rPr>
        <sz val="11"/>
        <color theme="1"/>
        <rFont val="Calibri (Body)"/>
      </rPr>
      <t>- not being used in paper</t>
    </r>
  </si>
  <si>
    <t>2025-07-01_h2-100bar_SRB</t>
  </si>
  <si>
    <t>2025-10-23_h2-60bar_SRB</t>
  </si>
  <si>
    <t>2025-11-11_h2-200bar_SRB</t>
  </si>
  <si>
    <t>2026-01-29_h2-400bar_SRB</t>
  </si>
  <si>
    <t>2026-02-10_h2-200bar_SRB</t>
  </si>
  <si>
    <t>2026-02-25_h2-400bar_SRB</t>
  </si>
  <si>
    <t>2026-03-12_h2-200bar_SRB</t>
  </si>
  <si>
    <t>2026-04-02_h2-200bar_SRB</t>
  </si>
  <si>
    <t>pressure</t>
  </si>
  <si>
    <t>un</t>
  </si>
  <si>
    <t>final table model:</t>
  </si>
  <si>
    <t>60 bar</t>
  </si>
  <si>
    <t>100 bar</t>
  </si>
  <si>
    <t>200 bar</t>
  </si>
  <si>
    <t>400 bar</t>
  </si>
  <si>
    <t>pH start</t>
  </si>
  <si>
    <t>6.53±0</t>
  </si>
  <si>
    <t>6.475±0.015</t>
  </si>
  <si>
    <t>7.015±0.015</t>
  </si>
  <si>
    <t>6.99±0.05</t>
  </si>
  <si>
    <t>pH end</t>
  </si>
  <si>
    <t>9.04±0</t>
  </si>
  <si>
    <t>9.08±0.18</t>
  </si>
  <si>
    <t>8.615±0.415</t>
  </si>
  <si>
    <t>8.865±0.025</t>
  </si>
  <si>
    <t>Acetate start</t>
  </si>
  <si>
    <t>2.146±0</t>
  </si>
  <si>
    <t>2.182±0.174</t>
  </si>
  <si>
    <t>3.060±0.014</t>
  </si>
  <si>
    <t>2.653±0.323</t>
  </si>
  <si>
    <t>Acetate end</t>
  </si>
  <si>
    <t>3.954±0</t>
  </si>
  <si>
    <t>1.741±0.122</t>
  </si>
  <si>
    <t>4.263±1.347</t>
  </si>
  <si>
    <t>3.525±0.360</t>
  </si>
  <si>
    <t>Sulphate start</t>
  </si>
  <si>
    <t>22.360±0</t>
  </si>
  <si>
    <t>22.772±0.260</t>
  </si>
  <si>
    <t>22.037±1.230</t>
  </si>
  <si>
    <t>21.185±0.050</t>
  </si>
  <si>
    <t>Sulphate end</t>
  </si>
  <si>
    <t>8.390±0</t>
  </si>
  <si>
    <t>10.000±0.604</t>
  </si>
  <si>
    <t>10.397±0.285</t>
  </si>
  <si>
    <t>12.232±0.371</t>
  </si>
  <si>
    <t>OD600 start</t>
  </si>
  <si>
    <t>0.051±0</t>
  </si>
  <si>
    <t>0.07±0.009</t>
  </si>
  <si>
    <t>0.0485±0.0185</t>
  </si>
  <si>
    <t>0.046±0.016</t>
  </si>
  <si>
    <t>OD600 end</t>
  </si>
  <si>
    <t>0.012±0</t>
  </si>
  <si>
    <t>0.027±0.006</t>
  </si>
  <si>
    <t>0.024±0.008</t>
  </si>
  <si>
    <t>0.0145±0.0015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</si>
</sst>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1"/>
      <color theme="1"/>
      <name val="Calibri (Body)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165" fontId="0" fillId="0" borderId="0" xfId="0" applyNumberFormat="1"/>
    <xf numFmtId="165" fontId="2" fillId="0" borderId="0" xfId="0" applyNumberFormat="1" applyFont="1"/>
    <xf numFmtId="0" fontId="0" fillId="2" borderId="0" xfId="0" applyFill="1"/>
    <xf numFmtId="0" fontId="0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4"/>
  <sheetViews>
    <sheetView tabSelected="1" topLeftCell="I8" zoomScale="56" workbookViewId="0">
      <selection activeCell="S45" sqref="S45:W53"/>
    </sheetView>
  </sheetViews>
  <sheetFormatPr baseColWidth="10" defaultColWidth="8.83203125" defaultRowHeight="15" x14ac:dyDescent="0.2"/>
  <cols>
    <col min="2" max="3" width="9" bestFit="1" customWidth="1"/>
    <col min="4" max="4" width="17.83203125" customWidth="1"/>
    <col min="5" max="5" width="14.1640625" customWidth="1"/>
    <col min="6" max="6" width="17.6640625" bestFit="1" customWidth="1"/>
    <col min="7" max="7" width="13.33203125" customWidth="1"/>
    <col min="8" max="8" width="18.6640625" customWidth="1"/>
    <col min="9" max="9" width="17.5" customWidth="1"/>
    <col min="10" max="10" width="9" bestFit="1" customWidth="1"/>
    <col min="11" max="11" width="18.33203125" customWidth="1"/>
    <col min="12" max="12" width="13.6640625" customWidth="1"/>
    <col min="13" max="13" width="17.6640625" customWidth="1"/>
    <col min="14" max="14" width="26.1640625" customWidth="1"/>
    <col min="15" max="15" width="26.6640625" customWidth="1"/>
    <col min="16" max="16" width="18.1640625" customWidth="1"/>
    <col min="17" max="17" width="20.5" customWidth="1"/>
    <col min="18" max="18" width="17.83203125" customWidth="1"/>
    <col min="19" max="19" width="19.83203125" customWidth="1"/>
    <col min="20" max="21" width="17.5" customWidth="1"/>
    <col min="22" max="22" width="30" customWidth="1"/>
    <col min="23" max="23" width="33.1640625" customWidth="1"/>
    <col min="24" max="24" width="19.1640625" customWidth="1"/>
    <col min="25" max="25" width="20.1640625" customWidth="1"/>
    <col min="26" max="26" width="17.6640625" bestFit="1" customWidth="1"/>
    <col min="27" max="27" width="7" customWidth="1"/>
    <col min="28" max="28" width="23.83203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5</v>
      </c>
      <c r="AA1" s="1" t="s">
        <v>21</v>
      </c>
    </row>
    <row r="2" spans="1:27" x14ac:dyDescent="0.2">
      <c r="A2" t="s">
        <v>26</v>
      </c>
      <c r="B2">
        <v>3</v>
      </c>
      <c r="C2">
        <v>1</v>
      </c>
      <c r="D2">
        <v>100</v>
      </c>
      <c r="E2" t="s">
        <v>27</v>
      </c>
      <c r="F2" s="2">
        <v>45826</v>
      </c>
      <c r="G2" s="2">
        <v>45835</v>
      </c>
      <c r="H2">
        <v>0</v>
      </c>
      <c r="I2">
        <v>9</v>
      </c>
      <c r="J2">
        <v>6.0999999999999999E-2</v>
      </c>
      <c r="K2">
        <v>2.1000000000000001E-2</v>
      </c>
      <c r="L2">
        <v>6.49</v>
      </c>
      <c r="M2">
        <v>8.9</v>
      </c>
      <c r="R2">
        <v>2.2323848238482391</v>
      </c>
      <c r="S2">
        <v>1.862296747967479</v>
      </c>
      <c r="T2">
        <v>23.031959192171559</v>
      </c>
      <c r="U2">
        <v>9.6299188007495324</v>
      </c>
      <c r="X2">
        <v>0.90463772642098683</v>
      </c>
      <c r="Y2" s="6">
        <v>3.6185509056839469</v>
      </c>
      <c r="Z2" s="2">
        <v>45826</v>
      </c>
      <c r="AA2" t="s">
        <v>28</v>
      </c>
    </row>
    <row r="3" spans="1:27" x14ac:dyDescent="0.2">
      <c r="A3" t="s">
        <v>29</v>
      </c>
      <c r="B3">
        <v>3</v>
      </c>
      <c r="C3">
        <v>2</v>
      </c>
      <c r="D3">
        <v>100</v>
      </c>
      <c r="E3" t="s">
        <v>27</v>
      </c>
      <c r="F3" s="2">
        <v>45826</v>
      </c>
      <c r="G3" s="2">
        <v>45835</v>
      </c>
      <c r="H3">
        <v>0</v>
      </c>
      <c r="I3">
        <v>9</v>
      </c>
      <c r="J3">
        <v>5.0000000000000001E-3</v>
      </c>
      <c r="K3">
        <v>0.02</v>
      </c>
      <c r="L3">
        <v>6.21</v>
      </c>
      <c r="M3">
        <v>5.9</v>
      </c>
      <c r="R3">
        <v>0.70037262872628714</v>
      </c>
      <c r="S3">
        <v>0.68682249322493238</v>
      </c>
      <c r="T3">
        <v>23.020508015823442</v>
      </c>
      <c r="U3">
        <v>25.069227566104509</v>
      </c>
      <c r="X3">
        <v>-0.13828856964397199</v>
      </c>
      <c r="Y3" s="6">
        <v>-0.55315427857588817</v>
      </c>
      <c r="Z3" s="2">
        <v>45826</v>
      </c>
    </row>
    <row r="4" spans="1:27" x14ac:dyDescent="0.2">
      <c r="A4" t="s">
        <v>30</v>
      </c>
      <c r="B4">
        <v>4</v>
      </c>
      <c r="C4">
        <v>1</v>
      </c>
      <c r="D4">
        <v>100</v>
      </c>
      <c r="E4" t="s">
        <v>27</v>
      </c>
      <c r="F4" s="2">
        <v>45839</v>
      </c>
      <c r="G4" s="2">
        <v>45853</v>
      </c>
      <c r="H4">
        <v>0</v>
      </c>
      <c r="I4">
        <v>14</v>
      </c>
      <c r="J4">
        <v>7.9000000000000001E-2</v>
      </c>
      <c r="K4">
        <v>3.3000000000000002E-2</v>
      </c>
      <c r="L4">
        <v>6.46</v>
      </c>
      <c r="M4">
        <v>9.26</v>
      </c>
      <c r="N4">
        <v>2.3556910569105689</v>
      </c>
      <c r="O4">
        <v>1.7411924119241191</v>
      </c>
      <c r="P4">
        <v>22.581303352071622</v>
      </c>
      <c r="Q4">
        <v>9.7655631896731219</v>
      </c>
      <c r="R4">
        <v>1.957994579945799</v>
      </c>
      <c r="S4">
        <v>1.618394308943089</v>
      </c>
      <c r="T4">
        <v>22.701957110139499</v>
      </c>
      <c r="U4">
        <v>10.60378929835519</v>
      </c>
      <c r="V4">
        <v>0.86506246096189876</v>
      </c>
      <c r="W4" s="6">
        <v>3.4602498438475999</v>
      </c>
      <c r="X4">
        <v>0.81662632729544093</v>
      </c>
      <c r="Y4" s="6">
        <v>3.2665053091817642</v>
      </c>
      <c r="Z4" s="2">
        <v>45839</v>
      </c>
      <c r="AA4" t="s">
        <v>55</v>
      </c>
    </row>
    <row r="5" spans="1:27" x14ac:dyDescent="0.2">
      <c r="A5" t="s">
        <v>31</v>
      </c>
      <c r="B5">
        <v>4</v>
      </c>
      <c r="C5">
        <v>2</v>
      </c>
      <c r="D5">
        <v>100</v>
      </c>
      <c r="E5" t="s">
        <v>27</v>
      </c>
      <c r="F5" s="2">
        <v>45839</v>
      </c>
      <c r="G5" s="2">
        <v>45853</v>
      </c>
      <c r="H5">
        <v>0</v>
      </c>
      <c r="I5">
        <v>14</v>
      </c>
      <c r="J5">
        <v>8.9999999999999993E-3</v>
      </c>
      <c r="L5">
        <v>6.24</v>
      </c>
      <c r="N5">
        <v>0.47018970189701892</v>
      </c>
      <c r="O5">
        <v>0.45121951219512202</v>
      </c>
      <c r="P5">
        <v>23.720174890693311</v>
      </c>
      <c r="Q5">
        <v>23.675619404538828</v>
      </c>
      <c r="R5">
        <v>0.69783197831978316</v>
      </c>
      <c r="S5">
        <v>0.6842818428184283</v>
      </c>
      <c r="T5">
        <v>23.982927337080991</v>
      </c>
      <c r="U5">
        <v>23.307828440557991</v>
      </c>
      <c r="V5">
        <v>3.0074953154275892E-3</v>
      </c>
      <c r="W5" s="6">
        <v>1.202998126171036E-2</v>
      </c>
      <c r="X5">
        <v>4.5569175515302512E-2</v>
      </c>
      <c r="Y5" s="6">
        <v>0.18227670206120999</v>
      </c>
      <c r="Z5" s="2">
        <v>45839</v>
      </c>
    </row>
    <row r="6" spans="1:27" x14ac:dyDescent="0.2">
      <c r="A6" t="s">
        <v>32</v>
      </c>
      <c r="B6">
        <v>5</v>
      </c>
      <c r="C6">
        <v>1</v>
      </c>
      <c r="D6">
        <v>60</v>
      </c>
      <c r="E6" t="s">
        <v>27</v>
      </c>
      <c r="F6" s="2">
        <v>45953</v>
      </c>
      <c r="G6" s="2">
        <v>45971</v>
      </c>
      <c r="H6">
        <v>0</v>
      </c>
      <c r="I6">
        <v>18</v>
      </c>
      <c r="J6">
        <v>5.0999999999999997E-2</v>
      </c>
      <c r="K6">
        <v>1.2E-2</v>
      </c>
      <c r="L6">
        <v>6.53</v>
      </c>
      <c r="M6">
        <v>9.0399999999999991</v>
      </c>
      <c r="N6">
        <v>2.1456639566395661</v>
      </c>
      <c r="O6">
        <v>3.9539295392953928</v>
      </c>
      <c r="P6">
        <v>22.35977514053716</v>
      </c>
      <c r="Q6">
        <v>8.3897564022485938</v>
      </c>
      <c r="V6">
        <v>0.94297626483447827</v>
      </c>
      <c r="W6" s="6">
        <v>3.7719050593379131</v>
      </c>
      <c r="Z6" s="2">
        <v>45953</v>
      </c>
      <c r="AA6" t="s">
        <v>56</v>
      </c>
    </row>
    <row r="7" spans="1:27" x14ac:dyDescent="0.2">
      <c r="A7" t="s">
        <v>33</v>
      </c>
      <c r="B7">
        <v>5</v>
      </c>
      <c r="C7">
        <v>2</v>
      </c>
      <c r="D7">
        <v>60</v>
      </c>
      <c r="E7" t="s">
        <v>27</v>
      </c>
      <c r="F7" s="2">
        <v>45953</v>
      </c>
      <c r="G7" s="2">
        <v>45971</v>
      </c>
      <c r="H7">
        <v>0</v>
      </c>
      <c r="I7">
        <v>18</v>
      </c>
      <c r="J7">
        <v>8.0000000000000002E-3</v>
      </c>
      <c r="K7">
        <v>8.9999999999999993E-3</v>
      </c>
      <c r="L7">
        <v>6.32</v>
      </c>
      <c r="M7">
        <v>6.32</v>
      </c>
      <c r="N7">
        <v>0.40785907859078591</v>
      </c>
      <c r="O7">
        <v>0.47628726287262868</v>
      </c>
      <c r="P7">
        <v>22.640433062669171</v>
      </c>
      <c r="Q7">
        <v>23.96543826774932</v>
      </c>
      <c r="V7">
        <v>-8.9437851342910088E-2</v>
      </c>
      <c r="W7" s="6">
        <v>-0.35775140537164041</v>
      </c>
      <c r="Z7" s="2">
        <v>45953</v>
      </c>
    </row>
    <row r="8" spans="1:27" s="3" customFormat="1" x14ac:dyDescent="0.2">
      <c r="A8" s="3" t="s">
        <v>34</v>
      </c>
      <c r="B8" s="3">
        <v>6</v>
      </c>
      <c r="C8" s="3">
        <v>1</v>
      </c>
      <c r="D8" s="3">
        <v>200</v>
      </c>
      <c r="E8" s="3" t="s">
        <v>35</v>
      </c>
      <c r="F8" s="4">
        <v>45972</v>
      </c>
      <c r="G8" s="4">
        <v>45985</v>
      </c>
      <c r="H8" s="3">
        <v>0</v>
      </c>
      <c r="I8" s="3">
        <v>13</v>
      </c>
      <c r="J8" s="3">
        <v>8.2000000000000003E-2</v>
      </c>
      <c r="K8" s="3">
        <v>4.0000000000000001E-3</v>
      </c>
      <c r="L8" s="3">
        <v>6.16</v>
      </c>
      <c r="M8" s="3">
        <v>9.07</v>
      </c>
      <c r="N8" s="3">
        <v>2.9261517615176151</v>
      </c>
      <c r="O8" s="3">
        <v>2.5054200542005418</v>
      </c>
      <c r="P8" s="3">
        <v>20.71455340412242</v>
      </c>
      <c r="Q8" s="3">
        <v>5.8180303976681236</v>
      </c>
      <c r="V8" s="3">
        <v>1.0055153029356649</v>
      </c>
      <c r="W8" s="7">
        <v>4.0220612117426597</v>
      </c>
      <c r="Z8" s="4">
        <v>45972</v>
      </c>
      <c r="AA8" s="3" t="s">
        <v>57</v>
      </c>
    </row>
    <row r="9" spans="1:27" s="3" customFormat="1" x14ac:dyDescent="0.2">
      <c r="A9" s="3" t="s">
        <v>36</v>
      </c>
      <c r="B9" s="3">
        <v>6</v>
      </c>
      <c r="C9" s="3">
        <v>2</v>
      </c>
      <c r="D9" s="3">
        <v>200</v>
      </c>
      <c r="E9" s="3" t="s">
        <v>35</v>
      </c>
      <c r="F9" s="4">
        <v>45972</v>
      </c>
      <c r="G9" s="4">
        <v>45985</v>
      </c>
      <c r="H9" s="3">
        <v>0</v>
      </c>
      <c r="I9" s="3">
        <v>13</v>
      </c>
      <c r="J9" s="3">
        <v>1E-3</v>
      </c>
      <c r="K9" s="3">
        <v>3.0000000000000001E-3</v>
      </c>
      <c r="L9" s="3">
        <v>4.76</v>
      </c>
      <c r="M9" s="3">
        <v>5.01</v>
      </c>
      <c r="N9" s="3">
        <v>0.28523035230352312</v>
      </c>
      <c r="O9" s="3">
        <v>0.36991869918699188</v>
      </c>
      <c r="P9" s="3">
        <v>19.715178013741411</v>
      </c>
      <c r="Q9" s="3">
        <v>20.398500936914431</v>
      </c>
      <c r="V9" s="3">
        <v>-4.612429731417881E-2</v>
      </c>
      <c r="W9" s="7">
        <v>-0.18449718925671521</v>
      </c>
      <c r="Z9" s="4">
        <v>45972</v>
      </c>
    </row>
    <row r="10" spans="1:27" s="3" customFormat="1" x14ac:dyDescent="0.2">
      <c r="A10" s="3" t="s">
        <v>37</v>
      </c>
      <c r="B10" s="3">
        <v>7</v>
      </c>
      <c r="C10" s="3">
        <v>1</v>
      </c>
      <c r="D10" s="3">
        <v>400</v>
      </c>
      <c r="E10" s="3" t="s">
        <v>35</v>
      </c>
      <c r="W10" s="7"/>
    </row>
    <row r="11" spans="1:27" s="3" customFormat="1" x14ac:dyDescent="0.2">
      <c r="A11" s="3" t="s">
        <v>38</v>
      </c>
      <c r="B11" s="3">
        <v>7</v>
      </c>
      <c r="C11" s="3">
        <v>2</v>
      </c>
      <c r="D11" s="3">
        <v>400</v>
      </c>
      <c r="E11" s="3" t="s">
        <v>35</v>
      </c>
      <c r="W11" s="7"/>
    </row>
    <row r="12" spans="1:27" s="3" customFormat="1" x14ac:dyDescent="0.2">
      <c r="A12" s="3" t="s">
        <v>39</v>
      </c>
      <c r="B12" s="3">
        <v>8</v>
      </c>
      <c r="C12" s="3">
        <v>1</v>
      </c>
      <c r="D12" s="3">
        <v>400</v>
      </c>
      <c r="E12" s="3" t="s">
        <v>35</v>
      </c>
      <c r="F12" s="4">
        <v>45993</v>
      </c>
      <c r="G12" s="4">
        <v>46010</v>
      </c>
      <c r="H12" s="3">
        <v>0</v>
      </c>
      <c r="I12" s="3">
        <v>17</v>
      </c>
      <c r="J12" s="3">
        <v>0.156</v>
      </c>
      <c r="K12" s="3">
        <v>1.7000000000000001E-2</v>
      </c>
      <c r="L12" s="3">
        <v>6.95</v>
      </c>
      <c r="M12" s="3">
        <v>8.8699999999999992</v>
      </c>
      <c r="N12" s="3">
        <v>2.4078590785907861</v>
      </c>
      <c r="O12" s="3">
        <v>2.434959349593496</v>
      </c>
      <c r="P12" s="3">
        <v>17.500312304809491</v>
      </c>
      <c r="Q12" s="3">
        <v>12.60587133041849</v>
      </c>
      <c r="V12" s="3">
        <v>0.33037476577139258</v>
      </c>
      <c r="W12" s="7">
        <v>1.3214990630855701</v>
      </c>
      <c r="Z12" s="4">
        <v>45993</v>
      </c>
    </row>
    <row r="13" spans="1:27" s="3" customFormat="1" x14ac:dyDescent="0.2">
      <c r="A13" s="3" t="s">
        <v>40</v>
      </c>
      <c r="B13" s="3">
        <v>8</v>
      </c>
      <c r="C13" s="3">
        <v>2</v>
      </c>
      <c r="D13" s="3">
        <v>400</v>
      </c>
      <c r="E13" s="3" t="s">
        <v>35</v>
      </c>
      <c r="F13" s="4">
        <v>45993</v>
      </c>
      <c r="G13" s="4">
        <v>46010</v>
      </c>
      <c r="H13" s="3">
        <v>0</v>
      </c>
      <c r="I13" s="3">
        <v>17</v>
      </c>
      <c r="J13" s="3">
        <v>1.9E-2</v>
      </c>
      <c r="K13" s="3">
        <v>3.3000000000000002E-2</v>
      </c>
      <c r="L13" s="3">
        <v>6.83</v>
      </c>
      <c r="M13" s="3">
        <v>6.83</v>
      </c>
      <c r="N13" s="3">
        <v>3.523035230352304E-2</v>
      </c>
      <c r="O13" s="3">
        <v>5.0135501355013552E-2</v>
      </c>
      <c r="P13" s="3">
        <v>20.415990006246101</v>
      </c>
      <c r="Q13" s="3">
        <v>20.926087861753071</v>
      </c>
      <c r="V13" s="3">
        <v>-3.4431605246720488E-2</v>
      </c>
      <c r="W13" s="7">
        <v>-0.13772642098688201</v>
      </c>
      <c r="Z13" s="4">
        <v>45993</v>
      </c>
    </row>
    <row r="14" spans="1:27" s="3" customFormat="1" x14ac:dyDescent="0.2">
      <c r="A14" s="3" t="s">
        <v>41</v>
      </c>
      <c r="B14" s="3">
        <v>9</v>
      </c>
      <c r="C14" s="3">
        <v>1</v>
      </c>
      <c r="D14" s="3">
        <v>400</v>
      </c>
      <c r="E14" s="3" t="s">
        <v>35</v>
      </c>
      <c r="F14" s="4">
        <v>46035</v>
      </c>
      <c r="G14" s="4">
        <v>46049</v>
      </c>
      <c r="H14" s="3">
        <v>0</v>
      </c>
      <c r="I14" s="3">
        <v>14</v>
      </c>
      <c r="J14" s="3">
        <v>6.3E-2</v>
      </c>
      <c r="K14" s="3">
        <v>2.1999999999999999E-2</v>
      </c>
      <c r="L14" s="3">
        <v>6.91</v>
      </c>
      <c r="M14" s="3">
        <v>8.91</v>
      </c>
      <c r="N14" s="3">
        <v>2.3963414634146338</v>
      </c>
      <c r="O14" s="3">
        <v>2.9668021680216801</v>
      </c>
      <c r="P14" s="3">
        <v>20.951488652925249</v>
      </c>
      <c r="Q14" s="3">
        <v>12.06953987091401</v>
      </c>
      <c r="V14" s="3">
        <v>0.59953154278575871</v>
      </c>
      <c r="W14" s="7">
        <v>2.3981261711430348</v>
      </c>
      <c r="Z14" s="4">
        <v>46035</v>
      </c>
    </row>
    <row r="15" spans="1:27" s="3" customFormat="1" x14ac:dyDescent="0.2">
      <c r="A15" s="3" t="s">
        <v>42</v>
      </c>
      <c r="B15" s="3">
        <v>9</v>
      </c>
      <c r="C15" s="3">
        <v>2</v>
      </c>
      <c r="D15" s="3">
        <v>400</v>
      </c>
      <c r="E15" s="3" t="s">
        <v>35</v>
      </c>
      <c r="F15" s="4">
        <v>46035</v>
      </c>
      <c r="G15" s="4">
        <v>46049</v>
      </c>
      <c r="H15" s="3">
        <v>0</v>
      </c>
      <c r="I15" s="3">
        <v>14</v>
      </c>
      <c r="J15" s="3">
        <v>4.0000000000000001E-3</v>
      </c>
      <c r="K15" s="3">
        <v>1.0999999999999999E-2</v>
      </c>
      <c r="L15" s="3">
        <v>6.83</v>
      </c>
      <c r="M15" s="3">
        <v>6.88</v>
      </c>
      <c r="N15" s="3">
        <v>0.41531165311653118</v>
      </c>
      <c r="O15" s="3">
        <v>0.46883468834688352</v>
      </c>
      <c r="P15" s="3">
        <v>22.12034145325838</v>
      </c>
      <c r="Q15" s="3">
        <v>21.140537164272331</v>
      </c>
      <c r="V15" s="3">
        <v>6.6136789506558311E-2</v>
      </c>
      <c r="W15" s="7">
        <v>0.26454715802623319</v>
      </c>
      <c r="Z15" s="4">
        <v>46035</v>
      </c>
    </row>
    <row r="16" spans="1:27" x14ac:dyDescent="0.2">
      <c r="A16" t="s">
        <v>43</v>
      </c>
      <c r="B16">
        <v>10</v>
      </c>
      <c r="C16">
        <v>1</v>
      </c>
      <c r="D16">
        <v>400</v>
      </c>
      <c r="E16" t="s">
        <v>44</v>
      </c>
      <c r="F16" s="2">
        <v>46051</v>
      </c>
      <c r="G16" s="2">
        <v>46062</v>
      </c>
      <c r="H16">
        <v>0</v>
      </c>
      <c r="I16">
        <v>11</v>
      </c>
      <c r="J16">
        <v>6.2E-2</v>
      </c>
      <c r="K16">
        <v>1.6E-2</v>
      </c>
      <c r="L16">
        <v>6.94</v>
      </c>
      <c r="M16">
        <v>8.89</v>
      </c>
      <c r="N16">
        <v>2.3299457994579948</v>
      </c>
      <c r="O16">
        <v>3.1653116531165311</v>
      </c>
      <c r="P16">
        <v>21.23547782635853</v>
      </c>
      <c r="Q16">
        <v>11.86050385175932</v>
      </c>
      <c r="V16">
        <v>0.63281074328544662</v>
      </c>
      <c r="W16" s="6">
        <v>2.531242973141786</v>
      </c>
      <c r="Z16" s="2">
        <v>46051</v>
      </c>
      <c r="AA16" t="s">
        <v>58</v>
      </c>
    </row>
    <row r="17" spans="1:33" x14ac:dyDescent="0.2">
      <c r="A17" t="s">
        <v>45</v>
      </c>
      <c r="B17">
        <v>10</v>
      </c>
      <c r="C17">
        <v>2</v>
      </c>
      <c r="D17">
        <v>400</v>
      </c>
      <c r="E17" t="s">
        <v>44</v>
      </c>
      <c r="F17" s="2">
        <v>46051</v>
      </c>
      <c r="G17" s="2">
        <v>46062</v>
      </c>
      <c r="H17">
        <v>0</v>
      </c>
      <c r="I17">
        <v>11</v>
      </c>
      <c r="J17">
        <v>1.4999999999999999E-2</v>
      </c>
      <c r="K17">
        <v>2.1000000000000001E-2</v>
      </c>
      <c r="L17">
        <v>6.9</v>
      </c>
      <c r="M17">
        <v>6.99</v>
      </c>
      <c r="N17">
        <v>0.50203252032520329</v>
      </c>
      <c r="O17">
        <v>0.43428184281842819</v>
      </c>
      <c r="P17">
        <v>21.839267124713722</v>
      </c>
      <c r="Q17">
        <v>21.275036435561109</v>
      </c>
      <c r="V17">
        <v>3.8085571517801349E-2</v>
      </c>
      <c r="W17" s="6">
        <v>0.1523422860712054</v>
      </c>
      <c r="Z17" s="2">
        <v>46051</v>
      </c>
    </row>
    <row r="18" spans="1:33" x14ac:dyDescent="0.2">
      <c r="A18" t="s">
        <v>46</v>
      </c>
      <c r="B18">
        <v>11</v>
      </c>
      <c r="C18">
        <v>1</v>
      </c>
      <c r="D18">
        <v>200</v>
      </c>
      <c r="E18" t="s">
        <v>44</v>
      </c>
      <c r="F18" s="2">
        <v>46063</v>
      </c>
      <c r="G18" s="2">
        <v>46077</v>
      </c>
      <c r="H18">
        <v>0</v>
      </c>
      <c r="I18">
        <v>14</v>
      </c>
      <c r="J18">
        <v>6.7000000000000004E-2</v>
      </c>
      <c r="K18">
        <v>1.6E-2</v>
      </c>
      <c r="L18">
        <v>7.03</v>
      </c>
      <c r="M18">
        <v>8.1999999999999993</v>
      </c>
      <c r="N18">
        <v>3.045392953929539</v>
      </c>
      <c r="O18">
        <v>2.9159891598915988</v>
      </c>
      <c r="P18">
        <v>20.80657922132001</v>
      </c>
      <c r="Q18">
        <v>10.68165729752238</v>
      </c>
      <c r="V18">
        <v>0.68343222985634011</v>
      </c>
      <c r="W18" s="6">
        <v>2.73372891942536</v>
      </c>
      <c r="Z18" s="2">
        <v>46063</v>
      </c>
      <c r="AA18" t="s">
        <v>59</v>
      </c>
    </row>
    <row r="19" spans="1:33" x14ac:dyDescent="0.2">
      <c r="A19" t="s">
        <v>47</v>
      </c>
      <c r="B19">
        <v>11</v>
      </c>
      <c r="C19">
        <v>2</v>
      </c>
      <c r="D19">
        <v>200</v>
      </c>
      <c r="E19" t="s">
        <v>44</v>
      </c>
      <c r="F19" s="2">
        <v>46063</v>
      </c>
      <c r="G19" s="2">
        <v>46077</v>
      </c>
      <c r="H19">
        <v>0</v>
      </c>
      <c r="I19">
        <v>14</v>
      </c>
      <c r="J19">
        <v>0.02</v>
      </c>
      <c r="K19">
        <v>0.02</v>
      </c>
      <c r="L19">
        <v>6.91</v>
      </c>
      <c r="M19">
        <v>7</v>
      </c>
      <c r="N19">
        <v>0.47222222222222221</v>
      </c>
      <c r="O19">
        <v>5.0135501355013552E-2</v>
      </c>
      <c r="P19">
        <v>21.556943576931079</v>
      </c>
      <c r="Q19">
        <v>21.73433270872372</v>
      </c>
      <c r="V19">
        <v>-1.1973766396003239E-2</v>
      </c>
      <c r="W19" s="6">
        <v>-4.7895065584012957E-2</v>
      </c>
      <c r="Z19" s="2">
        <v>46063</v>
      </c>
    </row>
    <row r="20" spans="1:33" x14ac:dyDescent="0.2">
      <c r="A20" t="s">
        <v>48</v>
      </c>
      <c r="B20">
        <v>12</v>
      </c>
      <c r="C20">
        <v>1</v>
      </c>
      <c r="D20">
        <v>400</v>
      </c>
      <c r="E20" t="s">
        <v>44</v>
      </c>
      <c r="F20" s="2">
        <v>46078</v>
      </c>
      <c r="G20" s="2">
        <v>46091</v>
      </c>
      <c r="H20">
        <v>0</v>
      </c>
      <c r="I20">
        <v>13</v>
      </c>
      <c r="J20">
        <v>0.03</v>
      </c>
      <c r="K20">
        <v>1.2999999999999999E-2</v>
      </c>
      <c r="L20">
        <v>7.04</v>
      </c>
      <c r="M20">
        <v>8.84</v>
      </c>
      <c r="N20">
        <v>2.9762872628726291</v>
      </c>
      <c r="O20">
        <v>3.8855013550135502</v>
      </c>
      <c r="P20">
        <v>21.13512388090777</v>
      </c>
      <c r="Q20">
        <v>12.602540079117221</v>
      </c>
      <c r="V20">
        <v>0.57594940662086214</v>
      </c>
      <c r="W20" s="6">
        <v>2.303797626483449</v>
      </c>
      <c r="Z20" s="2">
        <v>46078</v>
      </c>
      <c r="AA20" t="s">
        <v>60</v>
      </c>
    </row>
    <row r="21" spans="1:33" x14ac:dyDescent="0.2">
      <c r="A21" t="s">
        <v>49</v>
      </c>
      <c r="B21">
        <v>12</v>
      </c>
      <c r="C21">
        <v>2</v>
      </c>
      <c r="D21">
        <v>400</v>
      </c>
      <c r="E21" t="s">
        <v>44</v>
      </c>
      <c r="F21" s="2">
        <v>46078</v>
      </c>
      <c r="G21" s="2">
        <v>46091</v>
      </c>
      <c r="H21">
        <v>0</v>
      </c>
      <c r="I21">
        <v>13</v>
      </c>
      <c r="J21">
        <v>2.7E-2</v>
      </c>
      <c r="K21">
        <v>2.8000000000000001E-2</v>
      </c>
      <c r="L21">
        <v>7</v>
      </c>
      <c r="M21">
        <v>7</v>
      </c>
      <c r="N21">
        <v>0.45054200542005418</v>
      </c>
      <c r="O21">
        <v>5.5555555555555559E-2</v>
      </c>
      <c r="P21">
        <v>21.880491359566939</v>
      </c>
      <c r="Q21">
        <v>22.375182177805542</v>
      </c>
      <c r="V21">
        <v>-3.3391630231105668E-2</v>
      </c>
      <c r="W21" s="6">
        <v>-0.1335665209244227</v>
      </c>
      <c r="Z21" s="2">
        <v>46078</v>
      </c>
    </row>
    <row r="22" spans="1:33" s="3" customFormat="1" x14ac:dyDescent="0.2">
      <c r="A22" s="3" t="s">
        <v>50</v>
      </c>
      <c r="B22" s="3">
        <v>13</v>
      </c>
      <c r="C22" s="3">
        <v>1</v>
      </c>
      <c r="D22" s="3">
        <v>200</v>
      </c>
      <c r="E22" s="3" t="s">
        <v>44</v>
      </c>
      <c r="F22" s="4">
        <v>46093</v>
      </c>
      <c r="G22" s="4">
        <v>46112</v>
      </c>
      <c r="H22" s="3">
        <v>0</v>
      </c>
      <c r="I22" s="3">
        <v>19</v>
      </c>
      <c r="J22" s="3">
        <v>0.05</v>
      </c>
      <c r="K22" s="3">
        <v>7.0000000000000001E-3</v>
      </c>
      <c r="L22" s="3">
        <v>6.96</v>
      </c>
      <c r="M22" s="3">
        <v>9.08</v>
      </c>
      <c r="N22" s="3">
        <v>2.469512195121951</v>
      </c>
      <c r="O22" s="3">
        <v>2.133468834688347</v>
      </c>
      <c r="P22" s="3">
        <v>21.184259837601498</v>
      </c>
      <c r="Q22" s="3">
        <v>12.189048511347069</v>
      </c>
      <c r="V22" s="3">
        <v>0.60717676452217395</v>
      </c>
      <c r="W22" s="7">
        <v>2.4287070580886958</v>
      </c>
      <c r="Z22" s="4">
        <v>46093</v>
      </c>
      <c r="AA22" s="3" t="s">
        <v>61</v>
      </c>
    </row>
    <row r="23" spans="1:33" s="3" customFormat="1" x14ac:dyDescent="0.2">
      <c r="A23" s="3" t="s">
        <v>51</v>
      </c>
      <c r="B23" s="3">
        <v>13</v>
      </c>
      <c r="C23" s="3">
        <v>2</v>
      </c>
      <c r="D23" s="3">
        <v>200</v>
      </c>
      <c r="E23" s="3" t="s">
        <v>44</v>
      </c>
      <c r="F23" s="4">
        <v>46093</v>
      </c>
      <c r="G23" s="4">
        <v>46112</v>
      </c>
      <c r="H23" s="3">
        <v>0</v>
      </c>
      <c r="I23" s="3">
        <v>19</v>
      </c>
      <c r="J23" s="3">
        <v>0.06</v>
      </c>
      <c r="K23" s="3">
        <v>5.6000000000000001E-2</v>
      </c>
      <c r="L23" s="3">
        <v>6.96</v>
      </c>
      <c r="M23" s="3">
        <v>6.99</v>
      </c>
      <c r="N23" s="3">
        <v>0.14159891598915991</v>
      </c>
      <c r="O23" s="3">
        <v>0.14634146341463419</v>
      </c>
      <c r="P23" s="3">
        <v>21.93920466375182</v>
      </c>
      <c r="Q23" s="3">
        <v>21.87091401207579</v>
      </c>
      <c r="V23" s="3">
        <v>4.6096189881320096E-3</v>
      </c>
      <c r="W23" s="7">
        <v>1.8438475952528038E-2</v>
      </c>
      <c r="Z23" s="4">
        <v>46093</v>
      </c>
    </row>
    <row r="24" spans="1:33" x14ac:dyDescent="0.2">
      <c r="A24" t="s">
        <v>52</v>
      </c>
      <c r="B24">
        <v>14</v>
      </c>
      <c r="C24">
        <v>1</v>
      </c>
      <c r="D24">
        <v>200</v>
      </c>
      <c r="E24" t="s">
        <v>44</v>
      </c>
      <c r="F24" s="2">
        <v>46114</v>
      </c>
      <c r="G24" s="2">
        <v>46141</v>
      </c>
      <c r="H24">
        <v>0</v>
      </c>
      <c r="I24">
        <v>27</v>
      </c>
      <c r="J24">
        <v>0.03</v>
      </c>
      <c r="K24">
        <v>3.2000000000000001E-2</v>
      </c>
      <c r="L24">
        <v>7</v>
      </c>
      <c r="M24">
        <v>9.0299999999999994</v>
      </c>
      <c r="N24">
        <v>3.0738482384823849</v>
      </c>
      <c r="O24">
        <v>5.6090785907859084</v>
      </c>
      <c r="P24">
        <v>23.267124713720591</v>
      </c>
      <c r="Q24">
        <v>10.112013325005201</v>
      </c>
      <c r="V24">
        <v>0.88797001873828896</v>
      </c>
      <c r="W24" s="6">
        <v>3.5518800749531558</v>
      </c>
      <c r="Z24" s="2">
        <v>46114</v>
      </c>
      <c r="AA24" t="s">
        <v>62</v>
      </c>
    </row>
    <row r="25" spans="1:33" x14ac:dyDescent="0.2">
      <c r="A25" t="s">
        <v>53</v>
      </c>
      <c r="B25">
        <v>14</v>
      </c>
      <c r="C25">
        <v>2</v>
      </c>
      <c r="D25">
        <v>200</v>
      </c>
      <c r="E25" t="s">
        <v>44</v>
      </c>
      <c r="F25" s="2">
        <v>46114</v>
      </c>
      <c r="G25" s="2">
        <v>46141</v>
      </c>
      <c r="H25">
        <v>0</v>
      </c>
      <c r="I25">
        <v>27</v>
      </c>
      <c r="J25">
        <v>1.2E-2</v>
      </c>
      <c r="K25">
        <v>3.2000000000000001E-2</v>
      </c>
      <c r="L25">
        <v>6.92</v>
      </c>
      <c r="M25">
        <v>7.01</v>
      </c>
      <c r="N25">
        <v>0.1388888888888889</v>
      </c>
      <c r="O25">
        <v>0.14363143631436309</v>
      </c>
      <c r="P25">
        <v>22.716219029773061</v>
      </c>
      <c r="Q25">
        <v>22.5683947532792</v>
      </c>
      <c r="V25">
        <v>9.978138663335594E-3</v>
      </c>
      <c r="W25" s="6">
        <v>3.9912554653342383E-2</v>
      </c>
      <c r="Z25" s="2">
        <v>46114</v>
      </c>
    </row>
    <row r="27" spans="1:33" s="8" customFormat="1" x14ac:dyDescent="0.2"/>
    <row r="28" spans="1:33" x14ac:dyDescent="0.2">
      <c r="B28" s="5" t="s">
        <v>54</v>
      </c>
    </row>
    <row r="29" spans="1:33" x14ac:dyDescent="0.2">
      <c r="G29" s="1"/>
      <c r="H29" s="1"/>
      <c r="L29" s="1"/>
      <c r="Q29" t="s">
        <v>63</v>
      </c>
      <c r="R29" s="1" t="s">
        <v>11</v>
      </c>
      <c r="S29" t="s">
        <v>64</v>
      </c>
      <c r="T29" s="1" t="s">
        <v>12</v>
      </c>
      <c r="U29" t="s">
        <v>64</v>
      </c>
      <c r="V29" s="1" t="s">
        <v>9</v>
      </c>
      <c r="W29" t="s">
        <v>64</v>
      </c>
      <c r="X29" s="1" t="s">
        <v>10</v>
      </c>
      <c r="Y29" t="s">
        <v>64</v>
      </c>
      <c r="Z29" s="1" t="s">
        <v>13</v>
      </c>
      <c r="AA29" t="s">
        <v>64</v>
      </c>
      <c r="AB29" s="1" t="s">
        <v>14</v>
      </c>
      <c r="AC29" t="s">
        <v>64</v>
      </c>
      <c r="AD29" s="1" t="s">
        <v>15</v>
      </c>
      <c r="AE29" t="s">
        <v>64</v>
      </c>
      <c r="AF29" s="1" t="s">
        <v>16</v>
      </c>
    </row>
    <row r="30" spans="1:33" x14ac:dyDescent="0.2">
      <c r="A30" s="1" t="s">
        <v>2</v>
      </c>
      <c r="B30" s="1" t="s">
        <v>3</v>
      </c>
      <c r="C30" s="1" t="s">
        <v>11</v>
      </c>
      <c r="D30" s="1" t="s">
        <v>9</v>
      </c>
      <c r="E30" s="1" t="s">
        <v>10</v>
      </c>
      <c r="F30" s="1" t="s">
        <v>11</v>
      </c>
      <c r="G30" s="1" t="s">
        <v>12</v>
      </c>
      <c r="H30" s="12" t="s">
        <v>13</v>
      </c>
      <c r="I30" s="12" t="s">
        <v>14</v>
      </c>
      <c r="J30" s="1" t="s">
        <v>15</v>
      </c>
      <c r="K30" s="1" t="s">
        <v>16</v>
      </c>
      <c r="L30" s="1" t="s">
        <v>3</v>
      </c>
      <c r="M30" s="1" t="s">
        <v>17</v>
      </c>
      <c r="N30" s="1" t="s">
        <v>18</v>
      </c>
      <c r="O30" s="1" t="s">
        <v>19</v>
      </c>
      <c r="P30" s="1" t="s">
        <v>20</v>
      </c>
      <c r="Q30">
        <v>60</v>
      </c>
      <c r="R30">
        <f>C35</f>
        <v>6.53</v>
      </c>
      <c r="S30">
        <v>0</v>
      </c>
      <c r="T30">
        <f>G35</f>
        <v>9.0399999999999991</v>
      </c>
      <c r="U30">
        <f>T30-G35</f>
        <v>0</v>
      </c>
      <c r="V30">
        <f>D35</f>
        <v>5.0999999999999997E-2</v>
      </c>
      <c r="W30">
        <v>0</v>
      </c>
      <c r="X30">
        <f>E35</f>
        <v>1.2E-2</v>
      </c>
      <c r="Y30">
        <v>0</v>
      </c>
      <c r="Z30">
        <f>H35</f>
        <v>2.1456639566395661</v>
      </c>
      <c r="AA30">
        <v>0</v>
      </c>
      <c r="AB30">
        <f>I35</f>
        <v>3.9539295392953928</v>
      </c>
      <c r="AC30">
        <v>0</v>
      </c>
      <c r="AD30">
        <f>J35</f>
        <v>22.35977514053716</v>
      </c>
      <c r="AE30">
        <v>0</v>
      </c>
      <c r="AF30">
        <f>K35</f>
        <v>8.3897564022485938</v>
      </c>
      <c r="AG30">
        <v>0</v>
      </c>
    </row>
    <row r="31" spans="1:33" x14ac:dyDescent="0.2">
      <c r="A31" s="13">
        <v>1</v>
      </c>
      <c r="B31" s="13">
        <v>100</v>
      </c>
      <c r="C31" s="13">
        <v>6.49</v>
      </c>
      <c r="D31" s="13">
        <v>6.0999999999999999E-2</v>
      </c>
      <c r="E31" s="13">
        <v>2.1000000000000001E-2</v>
      </c>
      <c r="F31" s="13">
        <v>6.49</v>
      </c>
      <c r="G31" s="13">
        <v>8.9</v>
      </c>
      <c r="H31" s="14"/>
      <c r="I31" s="14"/>
      <c r="J31" s="14"/>
      <c r="K31" s="14"/>
      <c r="L31" s="13">
        <v>100</v>
      </c>
      <c r="M31" s="14">
        <v>2.2323848238482391</v>
      </c>
      <c r="N31" s="14">
        <v>1.862296747967479</v>
      </c>
      <c r="O31" s="14">
        <v>23.031959192171559</v>
      </c>
      <c r="P31" s="14">
        <v>9.6299188007495324</v>
      </c>
      <c r="Q31">
        <v>100</v>
      </c>
      <c r="R31">
        <f>(C31+C33)/2</f>
        <v>6.4749999999999996</v>
      </c>
      <c r="S31">
        <f>C31-R31</f>
        <v>1.5000000000000568E-2</v>
      </c>
      <c r="T31">
        <f>AVERAGE(G31,G33)</f>
        <v>9.08</v>
      </c>
      <c r="U31">
        <f>G33-T31</f>
        <v>0.17999999999999972</v>
      </c>
      <c r="V31">
        <f>AVERAGE(D31,D33)</f>
        <v>7.0000000000000007E-2</v>
      </c>
      <c r="W31">
        <f>V31-D31</f>
        <v>9.000000000000008E-3</v>
      </c>
      <c r="X31">
        <f>AVERAGE(E33,E31)</f>
        <v>2.7000000000000003E-2</v>
      </c>
      <c r="Y31">
        <f>X31-E31</f>
        <v>6.0000000000000019E-3</v>
      </c>
      <c r="Z31">
        <f>AVERAGE(M31,M33,H33)</f>
        <v>2.1820234869015356</v>
      </c>
      <c r="AA31">
        <f>H33-Z31</f>
        <v>0.17366757000903332</v>
      </c>
      <c r="AB31">
        <f>AVERAGE(I33,N33,N31)</f>
        <v>1.7406278229448955</v>
      </c>
      <c r="AC31">
        <f>N31-AB31</f>
        <v>0.12166892502258353</v>
      </c>
      <c r="AD31">
        <f>AVERAGE(J33,O31,O33)</f>
        <v>22.771739884794229</v>
      </c>
      <c r="AE31">
        <f>O31-AD31</f>
        <v>0.26021930737733001</v>
      </c>
      <c r="AF31">
        <f>AVERAGE(K33,P33,P31)</f>
        <v>9.9997570962592821</v>
      </c>
      <c r="AG31">
        <f>P33-AF31</f>
        <v>0.60403220209590813</v>
      </c>
    </row>
    <row r="32" spans="1:33" x14ac:dyDescent="0.2">
      <c r="A32" s="10"/>
      <c r="B32" s="10"/>
      <c r="C32" s="10"/>
      <c r="D32" s="10"/>
      <c r="E32" s="10"/>
      <c r="F32" s="10"/>
      <c r="G32" s="10"/>
      <c r="H32" s="9"/>
      <c r="I32" s="9"/>
      <c r="L32" s="10"/>
      <c r="Q32">
        <v>200</v>
      </c>
      <c r="R32">
        <f>AVERAGE(C47,C53)</f>
        <v>7.0150000000000006</v>
      </c>
      <c r="S32">
        <f>C47-R32</f>
        <v>1.499999999999968E-2</v>
      </c>
      <c r="T32">
        <f>AVERAGE(G47,G53)</f>
        <v>8.6149999999999984</v>
      </c>
      <c r="U32">
        <f>G53-T32</f>
        <v>0.41500000000000092</v>
      </c>
      <c r="V32">
        <f>AVERAGE(D47,D53)</f>
        <v>4.8500000000000001E-2</v>
      </c>
      <c r="W32">
        <f>D47-V32</f>
        <v>1.8500000000000003E-2</v>
      </c>
      <c r="X32">
        <f>AVERAGE(E47,E53)</f>
        <v>2.4E-2</v>
      </c>
      <c r="Y32">
        <f>X32-E47</f>
        <v>8.0000000000000002E-3</v>
      </c>
      <c r="Z32">
        <f>AVERAGE(H47,H53)</f>
        <v>3.0596205962059617</v>
      </c>
      <c r="AA32">
        <f>H53-Z32</f>
        <v>1.4227642276423147E-2</v>
      </c>
      <c r="AB32">
        <f>AVERAGE(I47,I53)</f>
        <v>4.2625338753387538</v>
      </c>
      <c r="AC32">
        <f>I53-AB32</f>
        <v>1.3465447154471546</v>
      </c>
      <c r="AD32">
        <f>AVERAGE(J47,J53)</f>
        <v>22.036851967520299</v>
      </c>
      <c r="AE32">
        <f>J53-AD32</f>
        <v>1.230272746200292</v>
      </c>
      <c r="AF32">
        <f>AVERAGE(K47,K53)</f>
        <v>10.396835311263789</v>
      </c>
      <c r="AG32">
        <f>K47-AF32</f>
        <v>0.28482198625859034</v>
      </c>
    </row>
    <row r="33" spans="1:33" x14ac:dyDescent="0.2">
      <c r="A33" s="10">
        <v>1</v>
      </c>
      <c r="B33" s="13">
        <v>100</v>
      </c>
      <c r="C33" s="13">
        <v>6.46</v>
      </c>
      <c r="D33" s="13">
        <v>7.9000000000000001E-2</v>
      </c>
      <c r="E33" s="13">
        <v>3.3000000000000002E-2</v>
      </c>
      <c r="F33" s="13">
        <v>6.46</v>
      </c>
      <c r="G33" s="13">
        <v>9.26</v>
      </c>
      <c r="H33" s="14">
        <v>2.3556910569105689</v>
      </c>
      <c r="I33" s="14">
        <v>1.7411924119241191</v>
      </c>
      <c r="J33" s="14">
        <v>22.581303352071622</v>
      </c>
      <c r="K33" s="14">
        <v>9.7655631896731219</v>
      </c>
      <c r="L33" s="13">
        <v>100</v>
      </c>
      <c r="M33" s="14">
        <v>1.957994579945799</v>
      </c>
      <c r="N33" s="14">
        <v>1.618394308943089</v>
      </c>
      <c r="O33" s="14">
        <v>22.701957110139499</v>
      </c>
      <c r="P33" s="14">
        <v>10.60378929835519</v>
      </c>
      <c r="Q33">
        <v>400</v>
      </c>
      <c r="R33">
        <f>AVERAGE(C45,C49)</f>
        <v>6.99</v>
      </c>
      <c r="S33">
        <f>R33-C45</f>
        <v>4.9999999999999822E-2</v>
      </c>
      <c r="T33">
        <f>AVERAGE(G49,G45)</f>
        <v>8.8650000000000002</v>
      </c>
      <c r="U33">
        <f>G45-T33</f>
        <v>2.5000000000000355E-2</v>
      </c>
      <c r="V33">
        <f>AVERAGE(D45,D49)</f>
        <v>4.5999999999999999E-2</v>
      </c>
      <c r="W33">
        <f>D45-V33</f>
        <v>1.6E-2</v>
      </c>
      <c r="X33">
        <f>AVERAGE(E45,E49)</f>
        <v>1.4499999999999999E-2</v>
      </c>
      <c r="Y33">
        <f>X33-E49</f>
        <v>1.4999999999999996E-3</v>
      </c>
      <c r="Z33">
        <f>AVERAGE(H45,H49)</f>
        <v>2.653116531165312</v>
      </c>
      <c r="AA33">
        <f>H49-Z33</f>
        <v>0.32317073170731714</v>
      </c>
      <c r="AB33">
        <f>AVERAGE(I45,I49)</f>
        <v>3.5254065040650406</v>
      </c>
      <c r="AC33">
        <f>I49-AB33</f>
        <v>0.36009485094850957</v>
      </c>
      <c r="AD33">
        <f>AVERAGE(J49,J45)</f>
        <v>21.185300853633152</v>
      </c>
      <c r="AE33">
        <f>J45-AD33</f>
        <v>5.0176972725378022E-2</v>
      </c>
      <c r="AF33">
        <f>AVERAGE(K49,K45)</f>
        <v>12.231521965438271</v>
      </c>
      <c r="AG33">
        <f>K49-AF33</f>
        <v>0.3710181136789501</v>
      </c>
    </row>
    <row r="34" spans="1:33" x14ac:dyDescent="0.2">
      <c r="A34" s="10"/>
      <c r="B34" s="10"/>
      <c r="C34" s="10"/>
      <c r="D34" s="10"/>
      <c r="E34" s="10"/>
      <c r="F34" s="10"/>
      <c r="G34" s="10"/>
      <c r="H34" s="9"/>
      <c r="I34" s="9"/>
      <c r="L34" s="10"/>
    </row>
    <row r="35" spans="1:33" x14ac:dyDescent="0.2">
      <c r="A35" s="10">
        <v>1</v>
      </c>
      <c r="B35" s="15">
        <v>60</v>
      </c>
      <c r="C35" s="15">
        <v>6.53</v>
      </c>
      <c r="D35" s="15">
        <v>5.0999999999999997E-2</v>
      </c>
      <c r="E35" s="15">
        <v>1.2E-2</v>
      </c>
      <c r="F35" s="15">
        <v>6.53</v>
      </c>
      <c r="G35" s="15">
        <v>9.0399999999999991</v>
      </c>
      <c r="H35" s="16">
        <v>2.1456639566395661</v>
      </c>
      <c r="I35" s="16">
        <v>3.9539295392953928</v>
      </c>
      <c r="J35" s="16">
        <v>22.35977514053716</v>
      </c>
      <c r="K35" s="16">
        <v>8.3897564022485938</v>
      </c>
      <c r="L35" s="15">
        <v>60</v>
      </c>
    </row>
    <row r="36" spans="1:33" x14ac:dyDescent="0.2">
      <c r="A36" s="10"/>
      <c r="B36" s="10"/>
      <c r="C36" s="10"/>
      <c r="D36" s="10"/>
      <c r="E36" s="10"/>
      <c r="F36" s="10"/>
      <c r="G36" s="10"/>
      <c r="H36" s="9"/>
      <c r="I36" s="9"/>
      <c r="L36" s="10"/>
    </row>
    <row r="37" spans="1:33" x14ac:dyDescent="0.2">
      <c r="A37" s="11"/>
      <c r="B37" s="11"/>
      <c r="C37" s="11"/>
      <c r="D37" s="11"/>
      <c r="E37" s="11"/>
      <c r="F37" s="11"/>
      <c r="G37" s="11"/>
      <c r="H37" s="9"/>
      <c r="I37" s="9"/>
      <c r="J37" s="3"/>
      <c r="K37" s="3"/>
      <c r="L37" s="11"/>
    </row>
    <row r="38" spans="1:33" x14ac:dyDescent="0.2">
      <c r="A38" s="11"/>
      <c r="B38" s="11"/>
      <c r="C38" s="11"/>
      <c r="D38" s="11"/>
      <c r="E38" s="11"/>
      <c r="F38" s="11"/>
      <c r="G38" s="11"/>
      <c r="H38" s="9"/>
      <c r="I38" s="9"/>
      <c r="J38" s="3"/>
      <c r="K38" s="3"/>
      <c r="L38" s="11"/>
    </row>
    <row r="39" spans="1:33" x14ac:dyDescent="0.2">
      <c r="A39" s="11"/>
      <c r="B39" s="11"/>
      <c r="C39" s="11"/>
      <c r="D39" s="11"/>
      <c r="E39" s="11"/>
      <c r="F39" s="11"/>
      <c r="G39" s="11"/>
      <c r="H39" s="9"/>
      <c r="I39" s="9"/>
      <c r="J39" s="3"/>
      <c r="K39" s="3"/>
      <c r="L39" s="11"/>
    </row>
    <row r="40" spans="1:33" x14ac:dyDescent="0.2">
      <c r="A40" s="11"/>
      <c r="B40" s="11"/>
      <c r="C40" s="11"/>
      <c r="D40" s="11"/>
      <c r="E40" s="11"/>
      <c r="F40" s="11"/>
      <c r="G40" s="11"/>
      <c r="H40" s="9"/>
      <c r="I40" s="9"/>
      <c r="J40" s="3"/>
      <c r="K40" s="3"/>
      <c r="L40" s="11"/>
    </row>
    <row r="41" spans="1:33" x14ac:dyDescent="0.2">
      <c r="A41" s="11"/>
      <c r="B41" s="11"/>
      <c r="C41" s="11"/>
      <c r="D41" s="11"/>
      <c r="E41" s="11"/>
      <c r="F41" s="11"/>
      <c r="G41" s="11"/>
      <c r="H41" s="9"/>
      <c r="I41" s="9"/>
      <c r="J41" s="3"/>
      <c r="K41" s="3"/>
      <c r="L41" s="11"/>
    </row>
    <row r="42" spans="1:33" x14ac:dyDescent="0.2">
      <c r="A42" s="11"/>
      <c r="B42" s="11"/>
      <c r="C42" s="11"/>
      <c r="D42" s="11"/>
      <c r="E42" s="11"/>
      <c r="F42" s="11"/>
      <c r="G42" s="11"/>
      <c r="H42" s="9"/>
      <c r="I42" s="9"/>
      <c r="J42" s="3"/>
      <c r="K42" s="3"/>
      <c r="L42" s="11"/>
    </row>
    <row r="43" spans="1:33" x14ac:dyDescent="0.2">
      <c r="A43" s="11"/>
      <c r="B43" s="11"/>
      <c r="C43" s="11"/>
      <c r="D43" s="11"/>
      <c r="E43" s="11"/>
      <c r="F43" s="11"/>
      <c r="G43" s="11"/>
      <c r="H43" s="9"/>
      <c r="I43" s="9"/>
      <c r="J43" s="3"/>
      <c r="K43" s="3"/>
      <c r="L43" s="11"/>
    </row>
    <row r="44" spans="1:33" x14ac:dyDescent="0.2">
      <c r="A44" s="11"/>
      <c r="B44" s="11"/>
      <c r="C44" s="11"/>
      <c r="D44" s="11"/>
      <c r="E44" s="11"/>
      <c r="F44" s="11"/>
      <c r="G44" s="11"/>
      <c r="H44" s="9"/>
      <c r="I44" s="9"/>
      <c r="J44" s="3"/>
      <c r="K44" s="3"/>
      <c r="L44" s="11"/>
    </row>
    <row r="45" spans="1:33" ht="17" x14ac:dyDescent="0.2">
      <c r="A45" s="10">
        <v>1</v>
      </c>
      <c r="B45" s="17">
        <v>400</v>
      </c>
      <c r="C45" s="17">
        <v>6.94</v>
      </c>
      <c r="D45" s="17">
        <v>6.2E-2</v>
      </c>
      <c r="E45" s="17">
        <v>1.6E-2</v>
      </c>
      <c r="F45" s="17">
        <v>6.94</v>
      </c>
      <c r="G45" s="17">
        <v>8.89</v>
      </c>
      <c r="H45" s="18">
        <v>2.3299457994579948</v>
      </c>
      <c r="I45" s="18">
        <v>3.1653116531165311</v>
      </c>
      <c r="J45" s="18">
        <v>21.23547782635853</v>
      </c>
      <c r="K45" s="18">
        <v>11.86050385175932</v>
      </c>
      <c r="L45" s="17">
        <v>400</v>
      </c>
      <c r="R45" t="s">
        <v>65</v>
      </c>
      <c r="S45" s="21"/>
      <c r="T45" s="22" t="s">
        <v>66</v>
      </c>
      <c r="U45" s="22" t="s">
        <v>67</v>
      </c>
      <c r="V45" s="22" t="s">
        <v>68</v>
      </c>
      <c r="W45" s="22" t="s">
        <v>69</v>
      </c>
    </row>
    <row r="46" spans="1:33" ht="17" x14ac:dyDescent="0.2">
      <c r="A46" s="10"/>
      <c r="B46" s="10"/>
      <c r="C46" s="10"/>
      <c r="D46" s="10"/>
      <c r="E46" s="10"/>
      <c r="F46" s="10"/>
      <c r="G46" s="10"/>
      <c r="H46" s="9"/>
      <c r="I46" s="9"/>
      <c r="L46" s="10"/>
      <c r="S46" s="23" t="s">
        <v>70</v>
      </c>
      <c r="T46" s="24" t="s">
        <v>71</v>
      </c>
      <c r="U46" s="24" t="s">
        <v>72</v>
      </c>
      <c r="V46" s="24" t="s">
        <v>73</v>
      </c>
      <c r="W46" s="24" t="s">
        <v>74</v>
      </c>
    </row>
    <row r="47" spans="1:33" ht="17" x14ac:dyDescent="0.2">
      <c r="A47" s="19">
        <v>1</v>
      </c>
      <c r="B47" s="19">
        <v>200</v>
      </c>
      <c r="C47" s="19">
        <v>7.03</v>
      </c>
      <c r="D47" s="19">
        <v>6.7000000000000004E-2</v>
      </c>
      <c r="E47" s="19">
        <v>1.6E-2</v>
      </c>
      <c r="F47" s="19">
        <v>7.03</v>
      </c>
      <c r="G47" s="19">
        <v>8.1999999999999993</v>
      </c>
      <c r="H47" s="20">
        <v>3.045392953929539</v>
      </c>
      <c r="I47" s="20">
        <v>2.9159891598915988</v>
      </c>
      <c r="J47" s="20">
        <v>20.80657922132001</v>
      </c>
      <c r="K47" s="20">
        <v>10.68165729752238</v>
      </c>
      <c r="L47" s="19">
        <v>200</v>
      </c>
      <c r="S47" s="23" t="s">
        <v>75</v>
      </c>
      <c r="T47" s="24" t="s">
        <v>76</v>
      </c>
      <c r="U47" s="24" t="s">
        <v>77</v>
      </c>
      <c r="V47" s="24" t="s">
        <v>78</v>
      </c>
      <c r="W47" s="24" t="s">
        <v>79</v>
      </c>
    </row>
    <row r="48" spans="1:33" ht="17" x14ac:dyDescent="0.2">
      <c r="A48" s="10"/>
      <c r="B48" s="10"/>
      <c r="C48" s="10"/>
      <c r="D48" s="10"/>
      <c r="E48" s="10"/>
      <c r="F48" s="10"/>
      <c r="G48" s="10"/>
      <c r="H48" s="9"/>
      <c r="I48" s="9"/>
      <c r="L48" s="10"/>
      <c r="S48" s="23" t="s">
        <v>100</v>
      </c>
      <c r="T48" s="24" t="s">
        <v>101</v>
      </c>
      <c r="U48" s="24" t="s">
        <v>102</v>
      </c>
      <c r="V48" s="24" t="s">
        <v>103</v>
      </c>
      <c r="W48" s="24" t="s">
        <v>104</v>
      </c>
    </row>
    <row r="49" spans="1:23" ht="17" x14ac:dyDescent="0.2">
      <c r="A49" s="10">
        <v>1</v>
      </c>
      <c r="B49" s="17">
        <v>400</v>
      </c>
      <c r="C49" s="17">
        <v>7.04</v>
      </c>
      <c r="D49" s="17">
        <v>0.03</v>
      </c>
      <c r="E49" s="17">
        <v>1.2999999999999999E-2</v>
      </c>
      <c r="F49" s="17">
        <v>7.04</v>
      </c>
      <c r="G49" s="17">
        <v>8.84</v>
      </c>
      <c r="H49" s="18">
        <v>2.9762872628726291</v>
      </c>
      <c r="I49" s="18">
        <v>3.8855013550135502</v>
      </c>
      <c r="J49" s="18">
        <v>21.13512388090777</v>
      </c>
      <c r="K49" s="18">
        <v>12.602540079117221</v>
      </c>
      <c r="L49" s="17">
        <v>400</v>
      </c>
      <c r="S49" s="23" t="s">
        <v>105</v>
      </c>
      <c r="T49" s="24" t="s">
        <v>106</v>
      </c>
      <c r="U49" s="24" t="s">
        <v>107</v>
      </c>
      <c r="V49" s="24" t="s">
        <v>108</v>
      </c>
      <c r="W49" s="24" t="s">
        <v>109</v>
      </c>
    </row>
    <row r="50" spans="1:23" ht="17" x14ac:dyDescent="0.2">
      <c r="A50" s="10"/>
      <c r="B50" s="10"/>
      <c r="C50" s="10"/>
      <c r="D50" s="10"/>
      <c r="E50" s="10"/>
      <c r="F50" s="10"/>
      <c r="G50" s="10"/>
      <c r="H50" s="9"/>
      <c r="I50" s="9"/>
      <c r="L50" s="10"/>
      <c r="S50" s="23" t="s">
        <v>80</v>
      </c>
      <c r="T50" s="24" t="s">
        <v>81</v>
      </c>
      <c r="U50" s="24" t="s">
        <v>82</v>
      </c>
      <c r="V50" s="24" t="s">
        <v>83</v>
      </c>
      <c r="W50" s="24" t="s">
        <v>84</v>
      </c>
    </row>
    <row r="51" spans="1:23" ht="17" x14ac:dyDescent="0.2">
      <c r="A51" s="11"/>
      <c r="B51" s="11"/>
      <c r="C51" s="11"/>
      <c r="D51" s="11"/>
      <c r="E51" s="11"/>
      <c r="F51" s="11"/>
      <c r="G51" s="11"/>
      <c r="H51" s="9"/>
      <c r="I51" s="9"/>
      <c r="J51" s="3"/>
      <c r="K51" s="3"/>
      <c r="L51" s="11"/>
      <c r="S51" s="23" t="s">
        <v>85</v>
      </c>
      <c r="T51" s="24" t="s">
        <v>86</v>
      </c>
      <c r="U51" s="24" t="s">
        <v>87</v>
      </c>
      <c r="V51" s="24" t="s">
        <v>88</v>
      </c>
      <c r="W51" s="24" t="s">
        <v>89</v>
      </c>
    </row>
    <row r="52" spans="1:23" ht="17" x14ac:dyDescent="0.2">
      <c r="A52" s="11"/>
      <c r="B52" s="11"/>
      <c r="C52" s="11"/>
      <c r="D52" s="11"/>
      <c r="E52" s="11"/>
      <c r="F52" s="11"/>
      <c r="G52" s="11"/>
      <c r="H52" s="9"/>
      <c r="I52" s="9"/>
      <c r="J52" s="3"/>
      <c r="K52" s="3"/>
      <c r="L52" s="11"/>
      <c r="S52" s="23" t="s">
        <v>90</v>
      </c>
      <c r="T52" s="24" t="s">
        <v>91</v>
      </c>
      <c r="U52" s="24" t="s">
        <v>92</v>
      </c>
      <c r="V52" s="24" t="s">
        <v>93</v>
      </c>
      <c r="W52" s="24" t="s">
        <v>94</v>
      </c>
    </row>
    <row r="53" spans="1:23" ht="17" x14ac:dyDescent="0.2">
      <c r="A53" s="10">
        <v>1</v>
      </c>
      <c r="B53" s="19">
        <v>200</v>
      </c>
      <c r="C53" s="19">
        <v>7</v>
      </c>
      <c r="D53" s="19">
        <v>0.03</v>
      </c>
      <c r="E53" s="19">
        <v>3.2000000000000001E-2</v>
      </c>
      <c r="F53" s="19">
        <v>7</v>
      </c>
      <c r="G53" s="19">
        <v>9.0299999999999994</v>
      </c>
      <c r="H53" s="20">
        <v>3.0738482384823849</v>
      </c>
      <c r="I53" s="20">
        <v>5.6090785907859084</v>
      </c>
      <c r="J53" s="20">
        <v>23.267124713720591</v>
      </c>
      <c r="K53" s="20">
        <v>10.112013325005201</v>
      </c>
      <c r="L53" s="19">
        <v>200</v>
      </c>
      <c r="S53" s="23" t="s">
        <v>95</v>
      </c>
      <c r="T53" s="24" t="s">
        <v>96</v>
      </c>
      <c r="U53" s="24" t="s">
        <v>97</v>
      </c>
      <c r="V53" s="24" t="s">
        <v>98</v>
      </c>
      <c r="W53" s="24" t="s">
        <v>99</v>
      </c>
    </row>
    <row r="62" spans="1:23" x14ac:dyDescent="0.2">
      <c r="C62" s="1"/>
      <c r="D62" s="1"/>
      <c r="E62" s="1"/>
      <c r="F62" s="1"/>
      <c r="G62" s="1"/>
      <c r="H62" s="1"/>
      <c r="I62" s="1"/>
      <c r="J62" s="1"/>
    </row>
    <row r="69" spans="3:10" x14ac:dyDescent="0.2">
      <c r="C69" s="3"/>
      <c r="D69" s="3"/>
      <c r="E69" s="3"/>
      <c r="F69" s="3"/>
      <c r="G69" s="3"/>
      <c r="H69" s="3"/>
      <c r="I69" s="3"/>
      <c r="J69" s="3"/>
    </row>
    <row r="70" spans="3:10" x14ac:dyDescent="0.2">
      <c r="C70" s="3"/>
      <c r="D70" s="3"/>
      <c r="E70" s="3"/>
      <c r="F70" s="3"/>
      <c r="G70" s="3"/>
      <c r="H70" s="3"/>
      <c r="I70" s="3"/>
      <c r="J70" s="3"/>
    </row>
    <row r="71" spans="3:10" x14ac:dyDescent="0.2">
      <c r="C71" s="3"/>
      <c r="D71" s="3"/>
      <c r="E71" s="3"/>
      <c r="F71" s="3"/>
      <c r="G71" s="3"/>
      <c r="H71" s="3"/>
      <c r="I71" s="3"/>
      <c r="J71" s="3"/>
    </row>
    <row r="72" spans="3:10" x14ac:dyDescent="0.2">
      <c r="C72" s="3"/>
      <c r="D72" s="3"/>
      <c r="E72" s="3"/>
      <c r="F72" s="3"/>
      <c r="G72" s="3"/>
      <c r="H72" s="3"/>
      <c r="I72" s="3"/>
      <c r="J72" s="3"/>
    </row>
    <row r="73" spans="3:10" x14ac:dyDescent="0.2">
      <c r="C73" s="3"/>
      <c r="D73" s="3"/>
      <c r="E73" s="3"/>
      <c r="F73" s="3"/>
      <c r="G73" s="3"/>
      <c r="H73" s="3"/>
      <c r="I73" s="3"/>
      <c r="J73" s="3"/>
    </row>
    <row r="74" spans="3:10" x14ac:dyDescent="0.2">
      <c r="C74" s="3"/>
      <c r="D74" s="3"/>
      <c r="E74" s="3"/>
      <c r="F74" s="3"/>
      <c r="G74" s="3"/>
      <c r="H74" s="3"/>
      <c r="I74" s="3"/>
      <c r="J74" s="3"/>
    </row>
    <row r="75" spans="3:10" x14ac:dyDescent="0.2">
      <c r="C75" s="3"/>
      <c r="D75" s="3"/>
      <c r="E75" s="3"/>
      <c r="F75" s="3"/>
      <c r="G75" s="3"/>
      <c r="H75" s="3"/>
      <c r="I75" s="3"/>
      <c r="J75" s="3"/>
    </row>
    <row r="76" spans="3:10" x14ac:dyDescent="0.2">
      <c r="C76" s="3"/>
      <c r="D76" s="3"/>
      <c r="E76" s="3"/>
      <c r="F76" s="3"/>
      <c r="G76" s="3"/>
      <c r="H76" s="3"/>
      <c r="I76" s="3"/>
      <c r="J76" s="3"/>
    </row>
    <row r="83" spans="3:10" x14ac:dyDescent="0.2">
      <c r="C83" s="3"/>
      <c r="D83" s="3"/>
      <c r="E83" s="3"/>
      <c r="F83" s="3"/>
      <c r="G83" s="3"/>
      <c r="H83" s="3"/>
      <c r="I83" s="3"/>
      <c r="J83" s="3"/>
    </row>
    <row r="84" spans="3:10" x14ac:dyDescent="0.2">
      <c r="C84" s="3"/>
      <c r="D84" s="3"/>
      <c r="E84" s="3"/>
      <c r="F84" s="3"/>
      <c r="G84" s="3"/>
      <c r="H84" s="3"/>
      <c r="I84" s="3"/>
      <c r="J8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 Ciortan</cp:lastModifiedBy>
  <dcterms:created xsi:type="dcterms:W3CDTF">2026-06-02T12:12:37Z</dcterms:created>
  <dcterms:modified xsi:type="dcterms:W3CDTF">2026-06-04T10:27:12Z</dcterms:modified>
</cp:coreProperties>
</file>