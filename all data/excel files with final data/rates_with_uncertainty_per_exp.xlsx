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ciortan/Downloads/"/>
    </mc:Choice>
  </mc:AlternateContent>
  <xr:revisionPtr revIDLastSave="0" documentId="13_ncr:1_{5A10988A-F16E-4E45-A607-7AFC715CE9B2}" xr6:coauthVersionLast="47" xr6:coauthVersionMax="47" xr10:uidLastSave="{00000000-0000-0000-0000-000000000000}"/>
  <bookViews>
    <workbookView xWindow="0" yWindow="720" windowWidth="29400" windowHeight="18400" xr2:uid="{620AF5E8-DEA5-564E-B47B-7DC9A1876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1" l="1"/>
  <c r="F4" i="1"/>
</calcChain>
</file>

<file path=xl/sharedStrings.xml><?xml version="1.0" encoding="utf-8"?>
<sst xmlns="http://schemas.openxmlformats.org/spreadsheetml/2006/main" count="23" uniqueCount="16">
  <si>
    <t>date</t>
  </si>
  <si>
    <t>pressure (bar)</t>
  </si>
  <si>
    <t>400 </t>
  </si>
  <si>
    <t>Theoretically consumed (from sulphate) (mmol)</t>
  </si>
  <si>
    <t>total consumed H2 (mmol)</t>
  </si>
  <si>
    <t>total consumed H2 (mmol/ml)</t>
  </si>
  <si>
    <t>Fraction from total [-]</t>
  </si>
  <si>
    <t>max rate (mmol/day)</t>
  </si>
  <si>
    <t>Max rate (mmol/day/cm^2)</t>
  </si>
  <si>
    <t>total rate (mmol/day)</t>
  </si>
  <si>
    <t>total rate (mmol/day/cm^2)</t>
  </si>
  <si>
    <t>Total rate (g/day)</t>
  </si>
  <si>
    <t>max rate in (g/day)</t>
  </si>
  <si>
    <t>max rate (mmol/day/mL)</t>
  </si>
  <si>
    <r>
      <t>total amount H2 before (mmol)</t>
    </r>
    <r>
      <rPr>
        <sz val="10"/>
        <color theme="1"/>
        <rFont val="Aptos Narrow"/>
        <scheme val="minor"/>
      </rPr>
      <t> </t>
    </r>
  </si>
  <si>
    <t>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</si>
</sst>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1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1" fontId="2" fillId="0" borderId="1" xfId="0" applyNumberFormat="1" applyFont="1" applyBorder="1" applyAlignment="1">
      <alignment horizontal="center" vertical="center" wrapText="1"/>
    </xf>
    <xf numFmtId="11" fontId="2" fillId="0" borderId="1" xfId="0" applyNumberFormat="1" applyFont="1" applyBorder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 wrapText="1"/>
    </xf>
    <xf numFmtId="1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27335-DDCF-D940-8F0D-2128E64CC695}">
  <dimension ref="A1:P35"/>
  <sheetViews>
    <sheetView tabSelected="1" zoomScale="68" workbookViewId="0">
      <selection activeCell="A21" sqref="A21:E34"/>
    </sheetView>
  </sheetViews>
  <sheetFormatPr baseColWidth="10" defaultRowHeight="14" x14ac:dyDescent="0.2"/>
  <cols>
    <col min="1" max="16384" width="10.83203125" style="1"/>
  </cols>
  <sheetData>
    <row r="1" spans="1:16" ht="15" x14ac:dyDescent="0.2">
      <c r="A1" s="8" t="s">
        <v>0</v>
      </c>
      <c r="B1" s="9">
        <v>45953</v>
      </c>
      <c r="C1" s="9" t="s">
        <v>15</v>
      </c>
      <c r="D1" s="9">
        <v>45826</v>
      </c>
      <c r="E1" s="9" t="s">
        <v>15</v>
      </c>
      <c r="F1" s="9">
        <v>45839</v>
      </c>
      <c r="G1" s="9" t="s">
        <v>15</v>
      </c>
      <c r="H1" s="9">
        <v>46063</v>
      </c>
      <c r="I1" s="9" t="s">
        <v>15</v>
      </c>
      <c r="J1" s="9">
        <v>46114</v>
      </c>
      <c r="K1" s="9" t="s">
        <v>15</v>
      </c>
      <c r="L1" s="9">
        <v>46051</v>
      </c>
      <c r="M1" s="9" t="s">
        <v>15</v>
      </c>
      <c r="N1" s="9">
        <v>46078</v>
      </c>
      <c r="O1" s="9" t="s">
        <v>15</v>
      </c>
      <c r="P1" s="5"/>
    </row>
    <row r="2" spans="1:16" ht="15" x14ac:dyDescent="0.2">
      <c r="A2" s="8" t="s">
        <v>1</v>
      </c>
      <c r="B2" s="10">
        <v>60</v>
      </c>
      <c r="C2" s="10">
        <v>60</v>
      </c>
      <c r="D2" s="10">
        <v>100</v>
      </c>
      <c r="E2" s="10">
        <v>100</v>
      </c>
      <c r="F2" s="10">
        <v>100</v>
      </c>
      <c r="G2" s="10">
        <v>100</v>
      </c>
      <c r="H2" s="8">
        <v>200</v>
      </c>
      <c r="I2" s="8">
        <v>200</v>
      </c>
      <c r="J2" s="10">
        <v>200</v>
      </c>
      <c r="K2" s="10">
        <v>200</v>
      </c>
      <c r="L2" s="10">
        <v>400</v>
      </c>
      <c r="M2" s="10">
        <v>400</v>
      </c>
      <c r="N2" s="8" t="s">
        <v>2</v>
      </c>
      <c r="O2" s="8" t="s">
        <v>2</v>
      </c>
      <c r="P2" s="5"/>
    </row>
    <row r="3" spans="1:16" ht="45" x14ac:dyDescent="0.2">
      <c r="A3" s="8" t="s">
        <v>14</v>
      </c>
      <c r="B3" s="10">
        <v>47.817500000000003</v>
      </c>
      <c r="C3" s="10">
        <v>2.3908999999999998</v>
      </c>
      <c r="D3" s="10">
        <v>75.099199999999996</v>
      </c>
      <c r="E3" s="10">
        <v>3.7549999999999999</v>
      </c>
      <c r="F3" s="10">
        <v>75.099199999999996</v>
      </c>
      <c r="G3" s="10">
        <v>3.7549999999999999</v>
      </c>
      <c r="H3" s="10">
        <v>140.27780000000001</v>
      </c>
      <c r="I3" s="10">
        <v>7.0138999999999996</v>
      </c>
      <c r="J3" s="10">
        <v>140.27780000000001</v>
      </c>
      <c r="K3" s="10">
        <v>7.0138999999999996</v>
      </c>
      <c r="L3" s="10">
        <v>256.74599999999998</v>
      </c>
      <c r="M3" s="10">
        <v>12.837300000000001</v>
      </c>
      <c r="N3" s="10">
        <v>256.74599999999998</v>
      </c>
      <c r="O3" s="11">
        <v>12.837300000000001</v>
      </c>
      <c r="P3" s="5"/>
    </row>
    <row r="4" spans="1:16" x14ac:dyDescent="0.2">
      <c r="A4" s="12" t="s">
        <v>3</v>
      </c>
      <c r="B4" s="13">
        <v>3.7719</v>
      </c>
      <c r="C4" s="13"/>
      <c r="D4" s="13">
        <v>3.6185999999999998</v>
      </c>
      <c r="E4" s="13"/>
      <c r="F4" s="13">
        <f>(3.2665+3.4602)/2</f>
        <v>3.3633500000000001</v>
      </c>
      <c r="G4" s="13">
        <f>3.4602-F4</f>
        <v>9.6849999999999881E-2</v>
      </c>
      <c r="H4" s="13">
        <v>2.7336999999999998</v>
      </c>
      <c r="I4" s="13"/>
      <c r="J4" s="13">
        <v>3.5518999999999998</v>
      </c>
      <c r="K4" s="13"/>
      <c r="L4" s="13">
        <v>2.5312000000000001</v>
      </c>
      <c r="M4" s="13"/>
      <c r="N4" s="13">
        <v>2.3037999999999998</v>
      </c>
      <c r="O4" s="19"/>
      <c r="P4" s="5"/>
    </row>
    <row r="5" spans="1:16" ht="16" customHeight="1" x14ac:dyDescent="0.2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20"/>
      <c r="P5" s="5"/>
    </row>
    <row r="6" spans="1:16" ht="16" customHeight="1" x14ac:dyDescent="0.2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20"/>
      <c r="P6" s="5"/>
    </row>
    <row r="7" spans="1:16" ht="17" customHeight="1" x14ac:dyDescent="0.2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21"/>
      <c r="P7" s="5"/>
    </row>
    <row r="8" spans="1:16" ht="45" x14ac:dyDescent="0.2">
      <c r="A8" s="8" t="s">
        <v>4</v>
      </c>
      <c r="B8" s="10">
        <v>4.6319999999999997</v>
      </c>
      <c r="C8" s="10">
        <v>2.7850000000000001E-3</v>
      </c>
      <c r="D8" s="10">
        <v>3.3809999999999998</v>
      </c>
      <c r="E8" s="10">
        <v>1.92E-3</v>
      </c>
      <c r="F8" s="10">
        <v>3.7570000000000001</v>
      </c>
      <c r="G8" s="10">
        <v>5.5019999999999999E-3</v>
      </c>
      <c r="H8" s="10">
        <v>2.5510000000000002</v>
      </c>
      <c r="I8" s="10">
        <v>2.3E-3</v>
      </c>
      <c r="J8" s="10">
        <v>2.298</v>
      </c>
      <c r="K8" s="10">
        <v>2.2399999999999998E-3</v>
      </c>
      <c r="L8" s="10">
        <v>1.409</v>
      </c>
      <c r="M8" s="10">
        <v>3.3270000000000001E-3</v>
      </c>
      <c r="N8" s="10">
        <v>1.8080000000000001</v>
      </c>
      <c r="O8" s="11">
        <v>2.101E-3</v>
      </c>
      <c r="P8" s="5"/>
    </row>
    <row r="9" spans="1:16" ht="45" x14ac:dyDescent="0.2">
      <c r="A9" s="8" t="s">
        <v>5</v>
      </c>
      <c r="B9" s="10">
        <v>6.8559999999999996E-2</v>
      </c>
      <c r="C9" s="10">
        <v>2.0370000000000002E-3</v>
      </c>
      <c r="D9" s="10">
        <v>5.0090000000000003E-2</v>
      </c>
      <c r="E9" s="10">
        <v>1.474E-3</v>
      </c>
      <c r="F9" s="10">
        <v>5.5640000000000002E-2</v>
      </c>
      <c r="G9" s="10">
        <v>1.629E-3</v>
      </c>
      <c r="H9" s="10">
        <v>3.6999999999999998E-2</v>
      </c>
      <c r="I9" s="10">
        <v>1.1000000000000001E-3</v>
      </c>
      <c r="J9" s="10">
        <v>3.4040000000000001E-2</v>
      </c>
      <c r="K9" s="10">
        <v>1.0169999999999999E-3</v>
      </c>
      <c r="L9" s="10">
        <v>2.0889999999999999E-2</v>
      </c>
      <c r="M9" s="10">
        <v>6.267E-4</v>
      </c>
      <c r="N9" s="10">
        <v>2.6790000000000001E-2</v>
      </c>
      <c r="O9" s="11">
        <v>7.8890000000000004E-4</v>
      </c>
      <c r="P9" s="5"/>
    </row>
    <row r="10" spans="1:16" ht="30" x14ac:dyDescent="0.2">
      <c r="A10" s="8" t="s">
        <v>6</v>
      </c>
      <c r="B10" s="10">
        <v>9.7100000000000009</v>
      </c>
      <c r="C10" s="10">
        <v>0.49</v>
      </c>
      <c r="D10" s="10">
        <v>4.5</v>
      </c>
      <c r="E10" s="10">
        <v>0.23</v>
      </c>
      <c r="F10" s="10">
        <v>4.58</v>
      </c>
      <c r="G10" s="10">
        <v>0.23</v>
      </c>
      <c r="H10" s="10">
        <v>1.84</v>
      </c>
      <c r="I10" s="10">
        <v>0.09</v>
      </c>
      <c r="J10" s="10">
        <v>1.64</v>
      </c>
      <c r="K10" s="10">
        <v>0.08</v>
      </c>
      <c r="L10" s="10">
        <v>0.55000000000000004</v>
      </c>
      <c r="M10" s="10">
        <v>0.03</v>
      </c>
      <c r="N10" s="10">
        <v>0.7</v>
      </c>
      <c r="O10" s="11">
        <v>0.04</v>
      </c>
      <c r="P10" s="5"/>
    </row>
    <row r="11" spans="1:16" ht="30" x14ac:dyDescent="0.2">
      <c r="A11" s="8" t="s">
        <v>7</v>
      </c>
      <c r="B11" s="10">
        <v>1.8420000000000001</v>
      </c>
      <c r="C11" s="10">
        <v>2.7799999999999999E-3</v>
      </c>
      <c r="D11" s="10">
        <v>1.29</v>
      </c>
      <c r="E11" s="10">
        <v>1.7409999999999999E-3</v>
      </c>
      <c r="F11" s="10">
        <v>1.298</v>
      </c>
      <c r="G11" s="10">
        <v>1.5969999999999999E-3</v>
      </c>
      <c r="H11" s="10">
        <v>0.98260000000000003</v>
      </c>
      <c r="I11" s="10">
        <v>2.2000000000000001E-3</v>
      </c>
      <c r="J11" s="10">
        <v>0.83420000000000005</v>
      </c>
      <c r="K11" s="10">
        <v>1.8190000000000001E-3</v>
      </c>
      <c r="L11" s="10">
        <v>0.30309999999999998</v>
      </c>
      <c r="M11" s="10">
        <v>9.1799999999999998E-4</v>
      </c>
      <c r="N11" s="10">
        <v>0.3493</v>
      </c>
      <c r="O11" s="11">
        <v>7.7749999999999998E-4</v>
      </c>
      <c r="P11" s="5"/>
    </row>
    <row r="12" spans="1:16" ht="45" x14ac:dyDescent="0.2">
      <c r="A12" s="8" t="s">
        <v>8</v>
      </c>
      <c r="B12" s="10">
        <v>0.1158</v>
      </c>
      <c r="C12" s="10">
        <v>1.7479999999999999E-4</v>
      </c>
      <c r="D12" s="10">
        <v>8.1089999999999995E-2</v>
      </c>
      <c r="E12" s="10">
        <v>1.0950000000000001E-4</v>
      </c>
      <c r="F12" s="10">
        <v>8.1610000000000002E-2</v>
      </c>
      <c r="G12" s="10">
        <v>1.004E-4</v>
      </c>
      <c r="H12" s="10">
        <v>6.1800000000000001E-2</v>
      </c>
      <c r="I12" s="10">
        <v>1E-4</v>
      </c>
      <c r="J12" s="10">
        <v>5.2449999999999997E-2</v>
      </c>
      <c r="K12" s="10">
        <v>1.144E-4</v>
      </c>
      <c r="L12" s="10">
        <v>1.9060000000000001E-2</v>
      </c>
      <c r="M12" s="14">
        <v>5.7720000000000003E-5</v>
      </c>
      <c r="N12" s="10">
        <v>2.196E-2</v>
      </c>
      <c r="O12" s="15">
        <v>4.8890000000000001E-5</v>
      </c>
      <c r="P12" s="5"/>
    </row>
    <row r="13" spans="1:16" ht="30" x14ac:dyDescent="0.2">
      <c r="A13" s="8" t="s">
        <v>9</v>
      </c>
      <c r="B13" s="10">
        <v>1.319</v>
      </c>
      <c r="C13" s="10">
        <v>1.4729999999999999E-3</v>
      </c>
      <c r="D13" s="10">
        <v>1.04</v>
      </c>
      <c r="E13" s="10">
        <v>1.4170000000000001E-3</v>
      </c>
      <c r="F13" s="10">
        <v>1.224</v>
      </c>
      <c r="G13" s="10">
        <v>1.6230000000000001E-3</v>
      </c>
      <c r="H13" s="10">
        <v>0.57669999999999999</v>
      </c>
      <c r="I13" s="10">
        <v>8.9999999999999998E-4</v>
      </c>
      <c r="J13" s="10">
        <v>0.64890000000000003</v>
      </c>
      <c r="K13" s="10">
        <v>1.6739999999999999E-3</v>
      </c>
      <c r="L13" s="10">
        <v>0.26779999999999998</v>
      </c>
      <c r="M13" s="10">
        <v>5.9559999999999995E-4</v>
      </c>
      <c r="N13" s="10">
        <v>0.27360000000000001</v>
      </c>
      <c r="O13" s="11">
        <v>5.9440000000000003E-4</v>
      </c>
      <c r="P13" s="5"/>
    </row>
    <row r="14" spans="1:16" ht="45" x14ac:dyDescent="0.2">
      <c r="A14" s="8" t="s">
        <v>10</v>
      </c>
      <c r="B14" s="10">
        <v>8.294E-2</v>
      </c>
      <c r="C14" s="14">
        <v>9.2600000000000001E-5</v>
      </c>
      <c r="D14" s="10">
        <v>6.54E-2</v>
      </c>
      <c r="E14" s="14">
        <v>8.9090000000000003E-5</v>
      </c>
      <c r="F14" s="10">
        <v>7.6980000000000007E-2</v>
      </c>
      <c r="G14" s="10">
        <v>1.021E-4</v>
      </c>
      <c r="H14" s="10">
        <v>3.6200000000000003E-2</v>
      </c>
      <c r="I14" s="14">
        <v>5.5439999999999998E-5</v>
      </c>
      <c r="J14" s="10">
        <v>4.0800000000000003E-2</v>
      </c>
      <c r="K14" s="10">
        <v>1.053E-4</v>
      </c>
      <c r="L14" s="10">
        <v>1.6840000000000001E-2</v>
      </c>
      <c r="M14" s="14">
        <v>3.7450000000000002E-5</v>
      </c>
      <c r="N14" s="10">
        <v>1.72E-2</v>
      </c>
      <c r="O14" s="15">
        <v>3.7379999999999998E-5</v>
      </c>
      <c r="P14" s="5"/>
    </row>
    <row r="15" spans="1:16" ht="31" customHeight="1" x14ac:dyDescent="0.2">
      <c r="A15" s="12" t="s">
        <v>11</v>
      </c>
      <c r="B15" s="13">
        <v>2.6589999999999999E-3</v>
      </c>
      <c r="C15" s="13">
        <v>2.9689999999999999E-6</v>
      </c>
      <c r="D15" s="13">
        <v>2.0969999999999999E-3</v>
      </c>
      <c r="E15" s="16">
        <v>2.8569999999999999E-6</v>
      </c>
      <c r="F15" s="13">
        <v>2.4680000000000001E-3</v>
      </c>
      <c r="G15" s="16">
        <v>3.27E-6</v>
      </c>
      <c r="H15" s="13">
        <v>1.163E-3</v>
      </c>
      <c r="I15" s="16">
        <v>1.7E-6</v>
      </c>
      <c r="J15" s="13">
        <v>1.3079999999999999E-3</v>
      </c>
      <c r="K15" s="16">
        <v>3.3749999999999999E-6</v>
      </c>
      <c r="L15" s="13">
        <v>5.3989999999999995E-4</v>
      </c>
      <c r="M15" s="16">
        <v>1.201E-6</v>
      </c>
      <c r="N15" s="13">
        <v>5.5159999999999996E-4</v>
      </c>
      <c r="O15" s="17">
        <v>1.198E-6</v>
      </c>
      <c r="P15" s="5"/>
    </row>
    <row r="16" spans="1:16" ht="17" customHeight="1" x14ac:dyDescent="0.2">
      <c r="A16" s="12"/>
      <c r="B16" s="13"/>
      <c r="C16" s="13"/>
      <c r="D16" s="13"/>
      <c r="E16" s="16"/>
      <c r="F16" s="13"/>
      <c r="G16" s="13"/>
      <c r="H16" s="13"/>
      <c r="I16" s="13"/>
      <c r="J16" s="13"/>
      <c r="K16" s="13"/>
      <c r="L16" s="13"/>
      <c r="M16" s="13"/>
      <c r="N16" s="13"/>
      <c r="O16" s="18"/>
      <c r="P16" s="5"/>
    </row>
    <row r="17" spans="1:16" ht="30" x14ac:dyDescent="0.2">
      <c r="A17" s="8" t="s">
        <v>12</v>
      </c>
      <c r="B17" s="10">
        <v>3.7139999999999999E-3</v>
      </c>
      <c r="C17" s="14">
        <v>5.604E-6</v>
      </c>
      <c r="D17" s="10">
        <v>2.5999999999999999E-3</v>
      </c>
      <c r="E17" s="14">
        <v>3.5099999999999999E-6</v>
      </c>
      <c r="F17" s="10">
        <v>2.617E-3</v>
      </c>
      <c r="G17" s="14">
        <v>3.219E-6</v>
      </c>
      <c r="H17" s="10">
        <v>1.9810000000000001E-3</v>
      </c>
      <c r="I17" s="14">
        <v>4.5430000000000004E-6</v>
      </c>
      <c r="J17" s="10">
        <v>1.6819999999999999E-3</v>
      </c>
      <c r="K17" s="14">
        <v>3.6679999999999999E-6</v>
      </c>
      <c r="L17" s="10">
        <v>6.1109999999999995E-4</v>
      </c>
      <c r="M17" s="14">
        <v>1.8509999999999999E-6</v>
      </c>
      <c r="N17" s="10">
        <v>7.0419999999999999E-4</v>
      </c>
      <c r="O17" s="15">
        <v>1.567E-6</v>
      </c>
      <c r="P17" s="5"/>
    </row>
    <row r="18" spans="1:16" ht="45" x14ac:dyDescent="0.2">
      <c r="A18" s="8" t="s">
        <v>13</v>
      </c>
      <c r="B18" s="10">
        <v>2.7269999999999999E-2</v>
      </c>
      <c r="C18" s="10">
        <v>8.1170000000000005E-4</v>
      </c>
      <c r="D18" s="10">
        <v>1.9109999999999999E-2</v>
      </c>
      <c r="E18" s="10">
        <v>5.6229999999999995E-4</v>
      </c>
      <c r="F18" s="10">
        <v>1.9230000000000001E-2</v>
      </c>
      <c r="G18" s="10">
        <v>5.6360000000000004E-4</v>
      </c>
      <c r="H18" s="10">
        <v>1.456E-2</v>
      </c>
      <c r="I18" s="10">
        <v>4.3340000000000002E-4</v>
      </c>
      <c r="J18" s="10">
        <v>1.2359999999999999E-2</v>
      </c>
      <c r="K18" s="10">
        <v>3.6929999999999998E-4</v>
      </c>
      <c r="L18" s="10">
        <v>4.4939999999999997E-3</v>
      </c>
      <c r="M18" s="10">
        <v>1.35E-4</v>
      </c>
      <c r="N18" s="10">
        <v>5.1749999999999999E-3</v>
      </c>
      <c r="O18" s="11">
        <v>1.5249999999999999E-4</v>
      </c>
      <c r="P18" s="5"/>
    </row>
    <row r="21" spans="1:16" x14ac:dyDescent="0.2">
      <c r="A21" s="2"/>
    </row>
    <row r="22" spans="1:16" x14ac:dyDescent="0.2">
      <c r="A22" s="2"/>
    </row>
    <row r="23" spans="1:16" x14ac:dyDescent="0.2">
      <c r="A23" s="2"/>
      <c r="B23" s="3"/>
      <c r="C23" s="3"/>
      <c r="D23" s="3"/>
      <c r="E23" s="3"/>
    </row>
    <row r="24" spans="1:16" x14ac:dyDescent="0.2">
      <c r="A24" s="6"/>
    </row>
    <row r="25" spans="1:16" x14ac:dyDescent="0.2">
      <c r="A25" s="2"/>
      <c r="B25" s="3"/>
      <c r="C25" s="3"/>
    </row>
    <row r="26" spans="1:16" x14ac:dyDescent="0.2">
      <c r="A26" s="2"/>
      <c r="B26" s="3"/>
      <c r="C26" s="3"/>
    </row>
    <row r="27" spans="1:16" x14ac:dyDescent="0.2">
      <c r="A27" s="2"/>
      <c r="B27" s="3"/>
      <c r="C27" s="3"/>
    </row>
    <row r="28" spans="1:16" x14ac:dyDescent="0.2">
      <c r="A28" s="2"/>
      <c r="B28" s="3"/>
      <c r="C28" s="3"/>
    </row>
    <row r="29" spans="1:16" x14ac:dyDescent="0.2">
      <c r="A29" s="2"/>
      <c r="B29" s="3"/>
      <c r="C29" s="3"/>
    </row>
    <row r="30" spans="1:16" x14ac:dyDescent="0.2">
      <c r="A30" s="2"/>
      <c r="B30" s="3"/>
      <c r="C30" s="3"/>
    </row>
    <row r="31" spans="1:16" x14ac:dyDescent="0.2">
      <c r="A31" s="2"/>
      <c r="B31" s="3"/>
      <c r="C31" s="4"/>
    </row>
    <row r="32" spans="1:16" x14ac:dyDescent="0.2">
      <c r="A32" s="7"/>
      <c r="B32" s="3"/>
      <c r="C32" s="3"/>
    </row>
    <row r="33" spans="1:3" x14ac:dyDescent="0.2">
      <c r="A33" s="2"/>
      <c r="B33" s="3"/>
      <c r="C33" s="4"/>
    </row>
    <row r="34" spans="1:3" x14ac:dyDescent="0.2">
      <c r="A34" s="2"/>
      <c r="B34" s="3"/>
      <c r="C34" s="3"/>
    </row>
    <row r="35" spans="1:3" x14ac:dyDescent="0.2">
      <c r="A35" s="7"/>
      <c r="B35" s="3"/>
      <c r="C35" s="3"/>
    </row>
  </sheetData>
  <mergeCells count="30">
    <mergeCell ref="M4:M7"/>
    <mergeCell ref="L15:L16"/>
    <mergeCell ref="O15:O16"/>
    <mergeCell ref="O4:O7"/>
    <mergeCell ref="C4:C7"/>
    <mergeCell ref="E4:E7"/>
    <mergeCell ref="G4:G7"/>
    <mergeCell ref="I4:I7"/>
    <mergeCell ref="K4:K7"/>
    <mergeCell ref="E15:E16"/>
    <mergeCell ref="G15:G16"/>
    <mergeCell ref="I15:I16"/>
    <mergeCell ref="K15:K16"/>
    <mergeCell ref="M15:M16"/>
    <mergeCell ref="N4:N7"/>
    <mergeCell ref="A15:A16"/>
    <mergeCell ref="B15:B16"/>
    <mergeCell ref="D15:D16"/>
    <mergeCell ref="F15:F16"/>
    <mergeCell ref="H15:H16"/>
    <mergeCell ref="J15:J16"/>
    <mergeCell ref="N15:N16"/>
    <mergeCell ref="F4:F7"/>
    <mergeCell ref="A4:A7"/>
    <mergeCell ref="B4:B7"/>
    <mergeCell ref="D4:D7"/>
    <mergeCell ref="H4:H7"/>
    <mergeCell ref="J4:J7"/>
    <mergeCell ref="L4:L7"/>
    <mergeCell ref="C15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Ciortan</dc:creator>
  <cp:lastModifiedBy>Ada Ciortan</cp:lastModifiedBy>
  <dcterms:created xsi:type="dcterms:W3CDTF">2026-06-02T16:03:45Z</dcterms:created>
  <dcterms:modified xsi:type="dcterms:W3CDTF">2026-06-03T08:46:46Z</dcterms:modified>
</cp:coreProperties>
</file>